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9.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R\WRI\IDEEA-Internal-Repo\data\"/>
    </mc:Choice>
  </mc:AlternateContent>
  <xr:revisionPtr revIDLastSave="0" documentId="13_ncr:1_{5A5DFEBD-354A-4F70-8032-725A2F3720E2}" xr6:coauthVersionLast="47" xr6:coauthVersionMax="47" xr10:uidLastSave="{00000000-0000-0000-0000-000000000000}"/>
  <bookViews>
    <workbookView xWindow="-98" yWindow="-98" windowWidth="28996" windowHeight="15675" tabRatio="754" activeTab="4" xr2:uid="{00000000-000D-0000-FFFF-FFFF00000000}"/>
  </bookViews>
  <sheets>
    <sheet name="settings" sheetId="1" r:id="rId1"/>
    <sheet name="commodities" sheetId="2" r:id="rId2"/>
    <sheet name="demand" sheetId="3" r:id="rId3"/>
    <sheet name="demand_drivers" sheetId="4" r:id="rId4"/>
    <sheet name="supply" sheetId="5" r:id="rId5"/>
    <sheet name="supply_calcs" sheetId="11" r:id="rId6"/>
    <sheet name="infrastructure" sheetId="6" r:id="rId7"/>
    <sheet name="infra_tech" sheetId="7" r:id="rId8"/>
    <sheet name="technologies" sheetId="8" r:id="rId9"/>
    <sheet name="new-format" sheetId="13" r:id="rId10"/>
    <sheet name="fleet" sheetId="9" r:id="rId11"/>
    <sheet name="fleet_new" sheetId="12" r:id="rId12"/>
    <sheet name="constraints"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K6" i="5"/>
  <c r="L6" i="5" s="1"/>
  <c r="K7" i="5"/>
  <c r="L7" i="5" s="1"/>
  <c r="L8" i="5"/>
  <c r="L9" i="5"/>
  <c r="E8" i="5"/>
  <c r="F8" i="5" s="1"/>
  <c r="G8" i="5" s="1"/>
  <c r="H8" i="5" s="1"/>
  <c r="I8" i="5" s="1"/>
  <c r="E9" i="5"/>
  <c r="F9" i="5" s="1"/>
  <c r="G9" i="5" s="1"/>
  <c r="H9" i="5" s="1"/>
  <c r="I9" i="5" s="1"/>
  <c r="H8" i="11"/>
  <c r="D7" i="5"/>
  <c r="E7" i="5" s="1"/>
  <c r="F7" i="5" s="1"/>
  <c r="G7" i="5" s="1"/>
  <c r="H7" i="5" s="1"/>
  <c r="I7" i="5" s="1"/>
  <c r="D6" i="5"/>
  <c r="E6" i="5" s="1"/>
  <c r="F6" i="5" s="1"/>
  <c r="G6" i="5" s="1"/>
  <c r="H6" i="5" s="1"/>
  <c r="I6" i="5" s="1"/>
  <c r="D5" i="5"/>
  <c r="E5" i="5" s="1"/>
  <c r="F5" i="5" s="1"/>
  <c r="G5" i="5" s="1"/>
  <c r="H5" i="5" s="1"/>
  <c r="I5" i="5" s="1"/>
  <c r="D4" i="5"/>
  <c r="E4" i="5" s="1"/>
  <c r="F4" i="5" s="1"/>
  <c r="G4" i="5" s="1"/>
  <c r="H4" i="5" s="1"/>
  <c r="I4" i="5" s="1"/>
  <c r="D3" i="5"/>
  <c r="E3" i="5" s="1"/>
  <c r="F3" i="5" s="1"/>
  <c r="G3" i="5" s="1"/>
  <c r="H3" i="5" s="1"/>
  <c r="I3" i="5" s="1"/>
  <c r="D2" i="5"/>
  <c r="E2" i="5" s="1"/>
  <c r="F2" i="5" s="1"/>
  <c r="G2" i="5" s="1"/>
  <c r="H2" i="5" s="1"/>
  <c r="I2" i="5" s="1"/>
  <c r="B7" i="1"/>
  <c r="H3" i="11"/>
  <c r="H4" i="11"/>
  <c r="H5" i="11"/>
  <c r="H6" i="11"/>
  <c r="H7" i="11"/>
  <c r="H9" i="11"/>
  <c r="H2" i="11"/>
  <c r="D6" i="11"/>
  <c r="D4" i="11"/>
  <c r="D7" i="11"/>
  <c r="D3" i="11"/>
  <c r="D2" i="11"/>
  <c r="D5" i="11"/>
  <c r="D9" i="11"/>
  <c r="D8" i="11"/>
  <c r="C8" i="11"/>
  <c r="E8" i="11" s="1"/>
  <c r="B9" i="11"/>
  <c r="C5" i="11"/>
  <c r="E5" i="11" s="1"/>
  <c r="C7" i="11"/>
  <c r="E7" i="11" s="1"/>
  <c r="C6" i="11"/>
  <c r="E6" i="11" s="1"/>
  <c r="B4" i="11"/>
  <c r="C3" i="11"/>
  <c r="E3" i="11" s="1"/>
  <c r="C2" i="11"/>
  <c r="E2" i="11" s="1"/>
  <c r="G25" i="3"/>
  <c r="H25" i="3" s="1"/>
  <c r="I25" i="3" s="1"/>
  <c r="J25" i="3" s="1"/>
  <c r="K25" i="3" s="1"/>
  <c r="G24" i="3"/>
  <c r="H24" i="3" s="1"/>
  <c r="I24" i="3" s="1"/>
  <c r="J24" i="3" s="1"/>
  <c r="K24" i="3" s="1"/>
  <c r="H23" i="3"/>
  <c r="I23" i="3" s="1"/>
  <c r="J23" i="3" s="1"/>
  <c r="K23" i="3" s="1"/>
  <c r="G23" i="3"/>
  <c r="G22" i="3"/>
  <c r="H22" i="3" s="1"/>
  <c r="I22" i="3" s="1"/>
  <c r="J22" i="3" s="1"/>
  <c r="K22" i="3" s="1"/>
  <c r="H21" i="3"/>
  <c r="I21" i="3" s="1"/>
  <c r="J21" i="3" s="1"/>
  <c r="K21" i="3" s="1"/>
  <c r="G21" i="3"/>
  <c r="G20" i="3"/>
  <c r="H20" i="3" s="1"/>
  <c r="I20" i="3" s="1"/>
  <c r="J20" i="3" s="1"/>
  <c r="K20" i="3" s="1"/>
  <c r="G19" i="3"/>
  <c r="H19" i="3" s="1"/>
  <c r="I19" i="3" s="1"/>
  <c r="J19" i="3" s="1"/>
  <c r="K19" i="3" s="1"/>
  <c r="H18" i="3"/>
  <c r="I18" i="3" s="1"/>
  <c r="J18" i="3" s="1"/>
  <c r="K18" i="3" s="1"/>
  <c r="G18" i="3"/>
  <c r="G17" i="3"/>
  <c r="H17" i="3" s="1"/>
  <c r="I17" i="3" s="1"/>
  <c r="J17" i="3" s="1"/>
  <c r="K17" i="3" s="1"/>
  <c r="G16" i="3"/>
  <c r="H16" i="3" s="1"/>
  <c r="I16" i="3" s="1"/>
  <c r="J16" i="3" s="1"/>
  <c r="K16" i="3" s="1"/>
  <c r="G15" i="3"/>
  <c r="H15" i="3" s="1"/>
  <c r="I15" i="3" s="1"/>
  <c r="J15" i="3" s="1"/>
  <c r="K15" i="3" s="1"/>
  <c r="G14" i="3"/>
  <c r="H14" i="3" s="1"/>
  <c r="I14" i="3" s="1"/>
  <c r="J14" i="3" s="1"/>
  <c r="K14" i="3" s="1"/>
  <c r="G13" i="3"/>
  <c r="H13" i="3" s="1"/>
  <c r="I13" i="3" s="1"/>
  <c r="J13" i="3" s="1"/>
  <c r="K13" i="3" s="1"/>
  <c r="G12" i="3"/>
  <c r="H12" i="3" s="1"/>
  <c r="I12" i="3" s="1"/>
  <c r="J12" i="3" s="1"/>
  <c r="K12" i="3" s="1"/>
  <c r="G11" i="3"/>
  <c r="H11" i="3" s="1"/>
  <c r="I11" i="3" s="1"/>
  <c r="J11" i="3" s="1"/>
  <c r="K11" i="3" s="1"/>
  <c r="G10" i="3"/>
  <c r="H10" i="3" s="1"/>
  <c r="I10" i="3" s="1"/>
  <c r="J10" i="3" s="1"/>
  <c r="K10" i="3" s="1"/>
  <c r="G9" i="3"/>
  <c r="H9" i="3" s="1"/>
  <c r="I9" i="3" s="1"/>
  <c r="J9" i="3" s="1"/>
  <c r="K9" i="3" s="1"/>
  <c r="G8" i="3"/>
  <c r="H8" i="3" s="1"/>
  <c r="I8" i="3" s="1"/>
  <c r="J8" i="3" s="1"/>
  <c r="K8" i="3" s="1"/>
  <c r="G7" i="3"/>
  <c r="H7" i="3" s="1"/>
  <c r="I7" i="3" s="1"/>
  <c r="J7" i="3" s="1"/>
  <c r="K7" i="3" s="1"/>
  <c r="G6" i="3"/>
  <c r="H6" i="3" s="1"/>
  <c r="I6" i="3" s="1"/>
  <c r="J6" i="3" s="1"/>
  <c r="K6" i="3" s="1"/>
  <c r="G5" i="3"/>
  <c r="H5" i="3" s="1"/>
  <c r="I5" i="3" s="1"/>
  <c r="J5" i="3" s="1"/>
  <c r="K5" i="3" s="1"/>
  <c r="G4" i="3"/>
  <c r="H4" i="3" s="1"/>
  <c r="I4" i="3" s="1"/>
  <c r="J4" i="3" s="1"/>
  <c r="K4" i="3" s="1"/>
  <c r="G3" i="3"/>
  <c r="H3" i="3" s="1"/>
  <c r="I3" i="3" s="1"/>
  <c r="J3" i="3" s="1"/>
  <c r="K3" i="3" s="1"/>
  <c r="G2" i="3"/>
  <c r="H2" i="3" s="1"/>
  <c r="I2" i="3" s="1"/>
  <c r="J2" i="3" s="1"/>
  <c r="K2" i="3" s="1"/>
  <c r="G2" i="11" l="1"/>
  <c r="F2" i="11"/>
  <c r="G3" i="11"/>
  <c r="F3" i="11"/>
  <c r="G6" i="11"/>
  <c r="F6" i="11"/>
  <c r="G7" i="11"/>
  <c r="F7" i="11"/>
  <c r="G5" i="11"/>
  <c r="F5" i="11"/>
  <c r="G8" i="11"/>
  <c r="F8" i="11"/>
  <c r="C9" i="11"/>
  <c r="E9" i="11" s="1"/>
  <c r="C4" i="11"/>
  <c r="E4" i="11" s="1"/>
  <c r="G4" i="11" l="1"/>
  <c r="F4" i="11"/>
  <c r="G9" i="11"/>
  <c r="F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tc={E8DC20E8-3D1D-4EB8-B058-1C34CF14AC8C}</author>
  </authors>
  <commentList>
    <comment ref="L2" authorId="0" shapeId="0" xr:uid="{E8DC20E8-3D1D-4EB8-B058-1C34CF14AC8C}">
      <text>
        <t>[Threaded comment]
Your version of Excel allows you to read this threaded comment; however, any edits to it will get removed if the file is opened in a newer version of Excel. Learn more: https://go.microsoft.com/fwlink/?linkid=870924
Comment:
    For LDV, please consider 25% hwy, 75% city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tc={203ADD1F-102E-44D7-92A4-01FB6249D3B7}</author>
    <author>tc={09ACFD28-5AEA-4CF1-91DD-A647A19A05D8}</author>
  </authors>
  <commentList>
    <comment ref="A1" authorId="0" shapeId="0" xr:uid="{203ADD1F-102E-44D7-92A4-01FB6249D3B7}">
      <text>
        <t xml:space="preserve">[Threaded comment]
Your version of Excel allows you to read this threaded comment; however, any edits to it will get removed if the file is opened in a newer version of Excel. Learn more: https://go.microsoft.com/fwlink/?linkid=870924
Comment:
    Please refer accompanying sheet called supply_cals for the values. </t>
      </text>
    </comment>
    <comment ref="M2" authorId="1" shapeId="0" xr:uid="{09ACFD28-5AEA-4CF1-91DD-A647A19A05D8}">
      <text>
        <t xml:space="preserve">[Threaded comment]
Your version of Excel allows you to read this threaded comment; however, any edits to it will get removed if the file is opened in a newer version of Excel. Learn more: https://go.microsoft.com/fwlink/?linkid=870924
Comment:
    Please refer to accompanying sheet called supply_cals in which column E has fuel prices in terms of Rs/ BTU. The price is in terms of 2025 Rs.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tc={9E192085-1743-4FBC-8A4D-94832F0B2075}</author>
  </authors>
  <commentList>
    <comment ref="G1" authorId="0" shapeId="0" xr:uid="{9E192085-1743-4FBC-8A4D-94832F0B2075}">
      <text>
        <t>[Threaded comment]
Your version of Excel allows you to read this threaded comment; however, any edits to it will get removed if the file is opened in a newer version of Excel. Learn more: https://go.microsoft.com/fwlink/?linkid=870924
Comment:
    convert("INR/kJ", "cr.INR/PJ") = 1e5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tc={49581289-9949-4A07-A4C7-C720AFBD9549}</author>
    <author>tc={36E484B0-03AA-4AB6-B9DE-A5477CC71528}</author>
    <author>tc={5D15250B-764F-43DF-A761-2E13C594A30B}</author>
    <author>tc={4D6C25D6-ECD0-4DAB-8F0C-FCDC5C5BAB76}</author>
    <author>tc={2C70D2C9-7229-466B-80A1-7D47585B88CF}</author>
    <author>tc={0F5202EE-69FD-4DFD-8BD8-4E89F8E45790}</author>
    <author>tc={42723194-42FD-4FA7-9FB0-F378F8978949}</author>
    <author>tc={DF604050-3A9D-4261-8D75-E55388258CA4}</author>
    <author>tc={F8A9EDDF-3FFB-41CE-A37C-6E96577C7CAD}</author>
    <author>tc={20766554-0679-49C2-96E5-D8B20BEE6091}</author>
    <author>tc={B4EC637F-E4F4-413D-841D-F8919657BFD3}</author>
    <author>tc={6C6D5431-4DA3-4A38-8243-DFCB9B2DD405}</author>
    <author>tc={79A14496-F692-40E6-BA9B-21E88FCE6AE0}</author>
    <author>tc={51905C50-3DBB-48FC-AC36-2BB9B348F614}</author>
    <author>tc={8BF02B17-FBDB-4EF2-B449-4E037CEE8B97}</author>
    <author>tc={0199F173-9B22-4180-99EB-3F5CEF73AFB3}</author>
    <author>tc={632AA44C-CE61-49B1-BBAC-5F3F4271CD6B}</author>
    <author>tc={CAF120FC-22F4-4BD8-A2D7-C6378886FDB6}</author>
    <author>tc={858F4A2C-47F1-40AC-8CFC-527E5DF354D4}</author>
    <author>tc={C10644E6-8FAD-460F-A800-F9CFE795B545}</author>
  </authors>
  <commentList>
    <comment ref="A1" authorId="0" shapeId="0" xr:uid="{49581289-9949-4A07-A4C7-C720AFBD9549}">
      <text>
        <t xml:space="preserve">[Threaded comment]
Your version of Excel allows you to read this threaded comment; however, any edits to it will get removed if the file is opened in a newer version of Excel. Learn more: https://go.microsoft.com/fwlink/?linkid=870924
Comment:
    Overall comment for fleet technologies wrt to LPG/ CNG: 
1. LPG- only used for 3W in India- this is currently under freight motorbikes
Reply:
    2. CNG- used in HDV passenger (buses), LDV passenger (cars), LDV (freight) and freight motorbikes (3W) 
Reply:
    Source: VAHAN dashboard
Reply:
    Please refer to the sheet called fleet_new cell A25 for details on how much each fuel type makes for the existing vehicle fleet. </t>
      </text>
    </comment>
    <comment ref="G1" authorId="1" shapeId="0" xr:uid="{36E484B0-03AA-4AB6-B9DE-A5477CC71528}">
      <text>
        <t xml:space="preserve">[Threaded comment]
Your version of Excel allows you to read this threaded comment; however, any edits to it will get removed if the file is opened in a newer version of Excel. Learn more: https://go.microsoft.com/fwlink/?linkid=870924
Comment:
    Values are diff compared to EPS
Reply:
    cost-of-ownership-for-different-vehicle-segments-fuels-and-powertrains.pdf
Reply:
    Fuel economy values can be sourced from Table 2 of the report above
Reply:
    Best Mileage Cars in India 2026 – Real Mileage, Running Cost &amp; Fuel Savings
Reply:
    Generally, highway mileage is 35-50% better than city mileage. </t>
      </text>
    </comment>
    <comment ref="A2" authorId="2" shapeId="0" xr:uid="{5D15250B-764F-43DF-A761-2E13C594A30B}">
      <text>
        <t xml:space="preserve">[Threaded comment]
Your version of Excel allows you to read this threaded comment; however, any edits to it will get removed if the file is opened in a newer version of Excel. Learn more: https://go.microsoft.com/fwlink/?linkid=870924
Comment:
    All gasoline cars can be considered to be E20 compliant as all petrol sold in the country is 20% blended petrol (blending by volume). 
</t>
      </text>
    </comment>
    <comment ref="J2" authorId="3" shapeId="0" xr:uid="{4D6C25D6-ECD0-4DAB-8F0C-FCDC5C5BAB76}">
      <text>
        <t>[Threaded comment]
Your version of Excel allows you to read this threaded comment; however, any edits to it will get removed if the file is opened in a newer version of Excel. Learn more: https://go.microsoft.com/fwlink/?linkid=870924
Comment:
    Modifying the data based on newer reports
Reply:
    Life-cycle assessment of passenger transport (EN)</t>
      </text>
    </comment>
    <comment ref="L2" authorId="4" shapeId="0" xr:uid="{2C70D2C9-7229-466B-80A1-7D47585B88CF}">
      <text>
        <t>[Threaded comment]
Your version of Excel allows you to read this threaded comment; however, any edits to it will get removed if the file is opened in a newer version of Excel. Learn more: https://go.microsoft.com/fwlink/?linkid=870924
Comment:
    Value diff compared to EPS</t>
      </text>
    </comment>
    <comment ref="A4" authorId="5" shapeId="0" xr:uid="{0F5202EE-69FD-4DFD-8BD8-4E89F8E45790}">
      <text>
        <t>[Threaded comment]
Your version of Excel allows you to read this threaded comment; however, any edits to it will get removed if the file is opened in a newer version of Excel. Learn more: https://go.microsoft.com/fwlink/?linkid=870924
Comment:
    There is no E10. Can be removed.</t>
      </text>
    </comment>
    <comment ref="A7" authorId="6" shapeId="0" xr:uid="{42723194-42FD-4FA7-9FB0-F378F8978949}">
      <text>
        <t xml:space="preserve">[Threaded comment]
Your version of Excel allows you to read this threaded comment; however, any edits to it will get removed if the file is opened in a newer version of Excel. Learn more: https://go.microsoft.com/fwlink/?linkid=870924
Comment:
    It would also be good to have LDV_B5 in line with govt. biodiesel blending target. </t>
      </text>
    </comment>
    <comment ref="A9" authorId="7" shapeId="0" xr:uid="{DF604050-3A9D-4261-8D75-E55388258CA4}">
      <text>
        <t xml:space="preserve">[Threaded comment]
Your version of Excel allows you to read this threaded comment; however, any edits to it will get removed if the file is opened in a newer version of Excel. Learn more: https://go.microsoft.com/fwlink/?linkid=870924
Comment:
    LPG was previously popular in LDV segment but now shift is towards CNG. Less than 1% of fleet would be CNG. Can be removed.  </t>
      </text>
    </comment>
    <comment ref="A14" authorId="8" shapeId="0" xr:uid="{F8A9EDDF-3FFB-41CE-A37C-6E96577C7CAD}">
      <text>
        <t>[Threaded comment]
Your version of Excel allows you to read this threaded comment; however, any edits to it will get removed if the file is opened in a newer version of Excel. Learn more: https://go.microsoft.com/fwlink/?linkid=870924
Comment:
    LDVF to be split between LDVF_3W, LDVF_4W
Reply:
    Technologies for LDVF_3W: CNG, diesel, electric
Reply:
    Technologies for LDVF_4W: CNG, diesel, electric, petrol</t>
      </text>
    </comment>
    <comment ref="J14" authorId="9" shapeId="0" xr:uid="{20766554-0679-49C2-96E5-D8B20BEE6091}">
      <text>
        <t>[Threaded comment]
Your version of Excel allows you to read this threaded comment; however, any edits to it will get removed if the file is opened in a newer version of Excel. Learn more: https://go.microsoft.com/fwlink/?linkid=870924
Comment:
    cost-of-ownership-for-different-vehicle-segments-fuels-and-powertrains.pdf</t>
      </text>
    </comment>
    <comment ref="A17" authorId="10" shapeId="0" xr:uid="{B4EC637F-E4F4-413D-841D-F8919657BFD3}">
      <text>
        <t>[Threaded comment]
Your version of Excel allows you to read this threaded comment; however, any edits to it will get removed if the file is opened in a newer version of Excel. Learn more: https://go.microsoft.com/fwlink/?linkid=870924
Comment:
    HDV to be split into HPV (Heavy Passenger Vehicle), MPV(Medium Passenger Vehicle)
Reply:
    The technologies will remain the same for both- BEV, CNG, DSL</t>
      </text>
    </comment>
    <comment ref="J17" authorId="11" shapeId="0" xr:uid="{6C6D5431-4DA3-4A38-8243-DFCB9B2DD405}">
      <text>
        <t xml:space="preserve">[Threaded comment]
Your version of Excel allows you to read this threaded comment; however, any edits to it will get removed if the file is opened in a newer version of Excel. Learn more: https://go.microsoft.com/fwlink/?linkid=870924
Comment:
    based on OECD report
</t>
      </text>
    </comment>
    <comment ref="A20" authorId="12" shapeId="0" xr:uid="{79A14496-F692-40E6-BA9B-21E88FCE6AE0}">
      <text>
        <t>[Threaded comment]
Your version of Excel allows you to read this threaded comment; however, any edits to it will get removed if the file is opened in a newer version of Excel. Learn more: https://go.microsoft.com/fwlink/?linkid=870924
Comment:
    Same as above- to be split into HGV (Heavy Goods Vehicle), MGV (Medium Goods Vehicle)</t>
      </text>
    </comment>
    <comment ref="J22" authorId="13" shapeId="0" xr:uid="{51905C50-3DBB-48FC-AC36-2BB9B348F614}">
      <text>
        <t>[Threaded comment]
Your version of Excel allows you to read this threaded comment; however, any edits to it will get removed if the file is opened in a newer version of Excel. Learn more: https://go.microsoft.com/fwlink/?linkid=870924
Comment:
    50000 for MGV and 80000 for HGV
Reply:
    cost-of-ownership-for-different-vehicle-segments-fuels-and-powertrains.pdf</t>
      </text>
    </comment>
    <comment ref="A35" authorId="14" shapeId="0" xr:uid="{8BF02B17-FBDB-4EF2-B449-4E037CEE8B97}">
      <text>
        <t xml:space="preserve">[Threaded comment]
Your version of Excel allows you to read this threaded comment; however, any edits to it will get removed if the file is opened in a newer version of Excel. Learn more: https://go.microsoft.com/fwlink/?linkid=870924
Comment:
    Taxis were labelled as passenger ships in IESS. We can entirely remove this category and cover taxis with LDVs and have only one category for ships. </t>
      </text>
    </comment>
    <comment ref="J39" authorId="15" shapeId="0" xr:uid="{0199F173-9B22-4180-99EB-3F5CEF73AFB3}">
      <text>
        <t>[Threaded comment]
Your version of Excel allows you to read this threaded comment; however, any edits to it will get removed if the file is opened in a newer version of Excel. Learn more: https://go.microsoft.com/fwlink/?linkid=870924
Comment:
    Based on OECD report</t>
      </text>
    </comment>
    <comment ref="A41" authorId="16" shapeId="0" xr:uid="{632AA44C-CE61-49B1-BBAC-5F3F4271CD6B}">
      <text>
        <t xml:space="preserve">[Threaded comment]
Your version of Excel allows you to read this threaded comment; however, any edits to it will get removed if the file is opened in a newer version of Excel. Learn more: https://go.microsoft.com/fwlink/?linkid=870924
Comment:
    Motobikes (2W) in India don’t use CNG. Can be removed. </t>
      </text>
    </comment>
    <comment ref="A42" authorId="17" shapeId="0" xr:uid="{CAF120FC-22F4-4BD8-A2D7-C6378886FDB6}">
      <text>
        <t xml:space="preserve">[Threaded comment]
Your version of Excel allows you to read this threaded comment; however, any edits to it will get removed if the file is opened in a newer version of Excel. Learn more: https://go.microsoft.com/fwlink/?linkid=870924
Comment:
    We can label this category as 3W_P (Three wheeler Passenger) for clarity of understanding. 
Reply:
    LPG needs to be added here. </t>
      </text>
    </comment>
    <comment ref="J42" authorId="18" shapeId="0" xr:uid="{858F4A2C-47F1-40AC-8CFC-527E5DF354D4}">
      <text>
        <t>[Threaded comment]
Your version of Excel allows you to read this threaded comment; however, any edits to it will get removed if the file is opened in a newer version of Excel. Learn more: https://go.microsoft.com/fwlink/?linkid=870924
Comment:
    Based on ITF OECD report</t>
      </text>
    </comment>
    <comment ref="A45" authorId="19" shapeId="0" xr:uid="{C10644E6-8FAD-460F-A800-F9CFE795B545}">
      <text>
        <t xml:space="preserve">[Threaded comment]
Your version of Excel allows you to read this threaded comment; however, any edits to it will get removed if the file is opened in a newer version of Excel. Learn more: https://go.microsoft.com/fwlink/?linkid=870924
Comment:
    A new type of vehicle called E_RICK can be added here. The fuel type for this is electric. This is different from the other three wheelers due to its use, avg dist travelled, fuel economy and rate of adoption levels.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tc={4A74CC20-86AF-40CA-9663-30560CA46560}</author>
    <author>tc={47A27E98-38DB-42F7-A84F-515656BD87D6}</author>
    <author>tc={33C7DDAE-874F-41B3-9465-0A2A7FB55646}</author>
  </authors>
  <commentList>
    <comment ref="A1" authorId="0" shapeId="0" xr:uid="{4A74CC20-86AF-40CA-9663-30560CA46560}">
      <text>
        <t xml:space="preserve">[Threaded comment]
Your version of Excel allows you to read this threaded comment; however, any edits to it will get removed if the file is opened in a newer version of Excel. Learn more: https://go.microsoft.com/fwlink/?linkid=870924
Comment:
    Overall comment for fleet technologies wrt to LPG/ CNG: 
1. LPG- only used for 3W in India- this is currently under freight motorbikes
Reply:
    2. CNG- used in HDV passenger (buses), LDV passenger (cars), LDV (freight) and freight motorbikes (3W) 
Reply:
    Source: VAHAN dashboard
Reply:
    Please refer to the sheet called fleet_new cell A25 for details on how much each fuel type makes for the existing vehicle fleet. </t>
      </text>
    </comment>
    <comment ref="A2" authorId="1" shapeId="0" xr:uid="{47A27E98-38DB-42F7-A84F-515656BD87D6}">
      <text>
        <t xml:space="preserve">[Threaded comment]
Your version of Excel allows you to read this threaded comment; however, any edits to it will get removed if the file is opened in a newer version of Excel. Learn more: https://go.microsoft.com/fwlink/?linkid=870924
Comment:
    All gasoline cars can be considered to be E20 compliant as all petrol sold in the country is 20% blended petrol (blending by volume). 
</t>
      </text>
    </comment>
    <comment ref="A4" authorId="2" shapeId="0" xr:uid="{33C7DDAE-874F-41B3-9465-0A2A7FB55646}">
      <text>
        <t>[Threaded comment]
Your version of Excel allows you to read this threaded comment; however, any edits to it will get removed if the file is opened in a newer version of Excel. Learn more: https://go.microsoft.com/fwlink/?linkid=870924
Comment:
    There is no E10. Can be removed.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tc={9AE00ABC-03B9-47A2-8536-80D4B58C3BFF}</author>
    <author>tc={8B8A3873-692E-487A-965E-997728E8F2E6}</author>
  </authors>
  <commentList>
    <comment ref="A1" authorId="0" shapeId="0" xr:uid="{9AE00ABC-03B9-47A2-8536-80D4B58C3BFF}">
      <text>
        <t xml:space="preserve">[Threaded comment]
Your version of Excel allows you to read this threaded comment; however, any edits to it will get removed if the file is opened in a newer version of Excel. Learn more: https://go.microsoft.com/fwlink/?linkid=870924
Comment:
    For updated data on vehicle fleet please refer to accompanying sheet called fleet_new. The fleet data is estimated for 2025. </t>
      </text>
    </comment>
    <comment ref="A10" authorId="1" shapeId="0" xr:uid="{8B8A3873-692E-487A-965E-997728E8F2E6}">
      <text>
        <t>[Threaded comment]
Your version of Excel allows you to read this threaded comment; however, any edits to it will get removed if the file is opened in a newer version of Excel. Learn more: https://go.microsoft.com/fwlink/?linkid=870924
Comment:
    data to be added for strong hybrids</t>
      </text>
    </comment>
  </commentList>
</comments>
</file>

<file path=xl/sharedStrings.xml><?xml version="1.0" encoding="utf-8"?>
<sst xmlns="http://schemas.openxmlformats.org/spreadsheetml/2006/main" count="1487" uniqueCount="517">
  <si>
    <t>key</t>
  </si>
  <si>
    <t>value</t>
  </si>
  <si>
    <t>notes</t>
  </si>
  <si>
    <t>base_year</t>
  </si>
  <si>
    <t>2024</t>
  </si>
  <si>
    <t>Base (reference) year for stock and calibration</t>
  </si>
  <si>
    <t>discount_rate</t>
  </si>
  <si>
    <t>0.07</t>
  </si>
  <si>
    <t>Annual social discount rate [fraction]</t>
  </si>
  <si>
    <t>cost_unit</t>
  </si>
  <si>
    <t>cr. INR</t>
  </si>
  <si>
    <t>Model output cost unit (crore Indian Rupees)</t>
  </si>
  <si>
    <t>cost_unit_alt</t>
  </si>
  <si>
    <t>MUSD</t>
  </si>
  <si>
    <t>Input data unit in Excel (million USD); reader converts using usd_to_crinr</t>
  </si>
  <si>
    <t>usd_to_inr</t>
  </si>
  <si>
    <t>1 USD = usd_to_inr INR — base year</t>
  </si>
  <si>
    <t>musd_to_crinr</t>
  </si>
  <si>
    <t>1 MUSD = usd_to_inr/10 cr. INR</t>
  </si>
  <si>
    <t>energy_unit</t>
  </si>
  <si>
    <t>PJ</t>
  </si>
  <si>
    <t>Energy unit (Petajoules)</t>
  </si>
  <si>
    <t>distance_unit</t>
  </si>
  <si>
    <t>km</t>
  </si>
  <si>
    <t>Distance unit</t>
  </si>
  <si>
    <t>capacity_unit</t>
  </si>
  <si>
    <t>1000 vehicles</t>
  </si>
  <si>
    <t>Vehicle fleet capacity unit (1000 vehicles per unit)</t>
  </si>
  <si>
    <t>milestone_years</t>
  </si>
  <si>
    <t>2025,2030,2035,2040,2045,2050</t>
  </si>
  <si>
    <t>Model milestone years (comma-separated)</t>
  </si>
  <si>
    <t>calendar_name</t>
  </si>
  <si>
    <t>ANNUAL</t>
  </si>
  <si>
    <t>Timeslice resolution</t>
  </si>
  <si>
    <t>base_region</t>
  </si>
  <si>
    <t>IND</t>
  </si>
  <si>
    <t>Base region code</t>
  </si>
  <si>
    <t>name</t>
  </si>
  <si>
    <t>desc</t>
  </si>
  <si>
    <t>unit</t>
  </si>
  <si>
    <t>timeframe</t>
  </si>
  <si>
    <t>emis_CO2</t>
  </si>
  <si>
    <t>emis_PM</t>
  </si>
  <si>
    <t>branch</t>
  </si>
  <si>
    <t>energy_content</t>
  </si>
  <si>
    <t>GSL</t>
  </si>
  <si>
    <t>Gasoline (petrol)</t>
  </si>
  <si>
    <t>tCO2/PJ — source: EIA</t>
  </si>
  <si>
    <t>shared</t>
  </si>
  <si>
    <t>MJ/L</t>
  </si>
  <si>
    <t>DSL</t>
  </si>
  <si>
    <t>Diesel</t>
  </si>
  <si>
    <t>BIO</t>
  </si>
  <si>
    <t>Biofuels (ethanol, biodiesel)</t>
  </si>
  <si>
    <t>Assumed carbon-neutral at combustion</t>
  </si>
  <si>
    <t>ELCPJ</t>
  </si>
  <si>
    <t>Electricity for transport</t>
  </si>
  <si>
    <t>No direct combustion emissions</t>
  </si>
  <si>
    <t>CNG</t>
  </si>
  <si>
    <t>Compressed Natural Gas</t>
  </si>
  <si>
    <t>tCO2/PJ — source: IEA/IPCC</t>
  </si>
  <si>
    <t>MJ/m3 STP</t>
  </si>
  <si>
    <t>LPG</t>
  </si>
  <si>
    <t>Liquefied Petroleum Gas (Autogas)</t>
  </si>
  <si>
    <t>tCO2/PJ</t>
  </si>
  <si>
    <t>H2</t>
  </si>
  <si>
    <t>Hydrogen (compressed, green/blue)</t>
  </si>
  <si>
    <t>Zero emission at point of use</t>
  </si>
  <si>
    <t>MJ/kg</t>
  </si>
  <si>
    <t>GSL10</t>
  </si>
  <si>
    <t>Blended fuel: 10% Ethanol + 90% Gasoline</t>
  </si>
  <si>
    <t xml:space="preserve"> = 0.9 * GSL emission factor (10% bio blend)</t>
  </si>
  <si>
    <t>PLDVHWY</t>
  </si>
  <si>
    <t>LDV passengers — highway</t>
  </si>
  <si>
    <t>MPKm</t>
  </si>
  <si>
    <t>Final demand; unit = million passenger·km</t>
  </si>
  <si>
    <t>LDV_psgr</t>
  </si>
  <si>
    <t>PLDVCTY</t>
  </si>
  <si>
    <t>LDV passengers — city</t>
  </si>
  <si>
    <t>FLDVHWY</t>
  </si>
  <si>
    <t>LDV freight — highway</t>
  </si>
  <si>
    <t>MTKm</t>
  </si>
  <si>
    <t>Final demand; unit = million tonne·km (LDV freight)</t>
  </si>
  <si>
    <t>LDV_frgt</t>
  </si>
  <si>
    <t>FLDVCTY</t>
  </si>
  <si>
    <t>LDV freight — city</t>
  </si>
  <si>
    <t>PETRO_REFUEL</t>
  </si>
  <si>
    <t>Petrol refueling station services</t>
  </si>
  <si>
    <t>Auxiliary commodity for tech aeff (cap2ainp)</t>
  </si>
  <si>
    <t>infra</t>
  </si>
  <si>
    <t>CNG_REFUEL</t>
  </si>
  <si>
    <t>CNG refueling station services</t>
  </si>
  <si>
    <t>LPG_REFUEL</t>
  </si>
  <si>
    <t>LPG refueling station services</t>
  </si>
  <si>
    <t>EV_CHARGING</t>
  </si>
  <si>
    <t>EV charging station services</t>
  </si>
  <si>
    <t>GWh</t>
  </si>
  <si>
    <t>Auxiliary commodity for tech aeff (cap2ainp); GWh</t>
  </si>
  <si>
    <t>HPSGRHWY</t>
  </si>
  <si>
    <t>HDV passengers — highway</t>
  </si>
  <si>
    <t>Final demand; million passenger·km (buses)</t>
  </si>
  <si>
    <t>HDV_psgr</t>
  </si>
  <si>
    <t>HPSGRCTY</t>
  </si>
  <si>
    <t>HDV passengers — city</t>
  </si>
  <si>
    <t>HFRGTHWY</t>
  </si>
  <si>
    <t>HDV freight — highway</t>
  </si>
  <si>
    <t>Final demand; million tonne·km (trucks)</t>
  </si>
  <si>
    <t>HDV_frgt</t>
  </si>
  <si>
    <t>HFRGTCTY</t>
  </si>
  <si>
    <t>HDV freight — city</t>
  </si>
  <si>
    <t>APSGRINT</t>
  </si>
  <si>
    <t>Aircraft passengers — international</t>
  </si>
  <si>
    <t>Final demand; million passenger·km (aviation)</t>
  </si>
  <si>
    <t>aircraft_psgr</t>
  </si>
  <si>
    <t>APSGRDOM</t>
  </si>
  <si>
    <t>Aircraft passengers — domestic</t>
  </si>
  <si>
    <t>AFRGTINT</t>
  </si>
  <si>
    <t>Aircraft freight — international</t>
  </si>
  <si>
    <t>Final demand; million tonne·km (air cargo)</t>
  </si>
  <si>
    <t>aircraft_frgt</t>
  </si>
  <si>
    <t>AFRGTDOM</t>
  </si>
  <si>
    <t>Aircraft freight — domestic</t>
  </si>
  <si>
    <t>RPSGRICY</t>
  </si>
  <si>
    <t>Rail passengers — intercity</t>
  </si>
  <si>
    <t>Final demand; million passenger·km (rail)</t>
  </si>
  <si>
    <t>rail_psgr</t>
  </si>
  <si>
    <t>RPSGRLOC</t>
  </si>
  <si>
    <t>Rail passengers — local/urban</t>
  </si>
  <si>
    <t>RFRGTICY</t>
  </si>
  <si>
    <t>Rail freight — intercity</t>
  </si>
  <si>
    <t>Final demand; million tonne·km (rail freight)</t>
  </si>
  <si>
    <t>rail_frgt</t>
  </si>
  <si>
    <t>RFRGTLOC</t>
  </si>
  <si>
    <t>Rail freight — local</t>
  </si>
  <si>
    <t>SPSGROCN</t>
  </si>
  <si>
    <t>Waterway passengers — ocean</t>
  </si>
  <si>
    <t>Final demand; million passenger·km (ships)</t>
  </si>
  <si>
    <t>ships_psgr</t>
  </si>
  <si>
    <t>SPSGRCST</t>
  </si>
  <si>
    <t>Waterway passengers — coastal/river</t>
  </si>
  <si>
    <t>SFRGTOCN</t>
  </si>
  <si>
    <t>Ships freight — ocean</t>
  </si>
  <si>
    <t>Final demand; million tonne·km (ships)</t>
  </si>
  <si>
    <t>ships_frgt</t>
  </si>
  <si>
    <t>SFRGTCST</t>
  </si>
  <si>
    <t>Ships freight — coastal</t>
  </si>
  <si>
    <t>MPSGRHWY</t>
  </si>
  <si>
    <t>Motorbike passengers — highway</t>
  </si>
  <si>
    <t>Final demand; million passenger·km (motorbikes)</t>
  </si>
  <si>
    <t>motorbikes_psgr</t>
  </si>
  <si>
    <t>MPSGRCTY</t>
  </si>
  <si>
    <t>Motorbike passengers — city</t>
  </si>
  <si>
    <t>MFRGTHWY</t>
  </si>
  <si>
    <t>Motorbike freight — highway</t>
  </si>
  <si>
    <t>Final demand; million tonne·km (motorbike freight)</t>
  </si>
  <si>
    <t>motorbikes_frgt</t>
  </si>
  <si>
    <t>MFRGTCTY</t>
  </si>
  <si>
    <t>Motorbike freight — city</t>
  </si>
  <si>
    <t>LAND</t>
  </si>
  <si>
    <t>Land resource used by refueling/charging infrastructure (1000 ha)</t>
  </si>
  <si>
    <t>kha</t>
  </si>
  <si>
    <t>Resource input for INFR_* techs; supplied via unconstrained SUP_LAND.</t>
  </si>
  <si>
    <t>CNG_LEAK</t>
  </si>
  <si>
    <t>Fugitive CNG/methane leakage from CNG refueling stations</t>
  </si>
  <si>
    <t>Auxiliary output for INFR_CNG_REFUEL aeff act2aout=0.01. Add to GHG constraint later.</t>
  </si>
  <si>
    <t>commodity</t>
  </si>
  <si>
    <t>region</t>
  </si>
  <si>
    <t>y2025</t>
  </si>
  <si>
    <t>y2030</t>
  </si>
  <si>
    <t>y2035</t>
  </si>
  <si>
    <t>y2040</t>
  </si>
  <si>
    <t>y2045</t>
  </si>
  <si>
    <t>y2050</t>
  </si>
  <si>
    <t>DEM_PLDVHWY</t>
  </si>
  <si>
    <t>LDV passenger demand — highway</t>
  </si>
  <si>
    <t>EPS: SYVbT_psgr × BAADTbVT × AVLo × 20% hwy. Calibrate from MoRTH/VAHAN.</t>
  </si>
  <si>
    <t>DEM_PLDVCTY</t>
  </si>
  <si>
    <t>LDV passenger demand — city</t>
  </si>
  <si>
    <t>EPS: SYVbT_psgr × BAADTbVT × AVLo × 80% cty. Calibrate from MoRTH/VAHAN.</t>
  </si>
  <si>
    <t>DEM_FLDVHWY</t>
  </si>
  <si>
    <t>LDV freight demand — highway</t>
  </si>
  <si>
    <t>EPS: SYVbT_frgt × BAADTbVT_frgt × AVLo_frgt × 40% hwy. Calibrate from MoRTH.</t>
  </si>
  <si>
    <t>DEM_FLDVCTY</t>
  </si>
  <si>
    <t>LDV freight demand — city</t>
  </si>
  <si>
    <t>EPS: SYVbT_frgt × BAADTbVT_frgt × AVLo_frgt × 60% cty. Calibrate from MoRTH.</t>
  </si>
  <si>
    <t>DEM_HPSGRHWY</t>
  </si>
  <si>
    <t>HDV passenger demand — highway</t>
  </si>
  <si>
    <t>EPS: SYVbT_psgr HDVs × BAADTbVT × AVLo_hdv × 30% hwy.</t>
  </si>
  <si>
    <t>DEM_HPSGRCTY</t>
  </si>
  <si>
    <t>HDV passenger demand — city</t>
  </si>
  <si>
    <t>EPS: SYVbT_psgr HDVs × BAADTbVT × AVLo_hdv × 70% cty.</t>
  </si>
  <si>
    <t>DEM_HFRGTHWY</t>
  </si>
  <si>
    <t>HDV freight demand — highway</t>
  </si>
  <si>
    <t>EPS: SYVbT_frgt HDVs × BAADTbVT_frgt × AVLo_hdv_frgt × 60% hwy.</t>
  </si>
  <si>
    <t>DEM_HFRGTCTY</t>
  </si>
  <si>
    <t>HDV freight demand — city</t>
  </si>
  <si>
    <t>EPS: SYVbT_frgt HDVs × BAADTbVT_frgt × AVLo_hdv_frgt × 40% cty.</t>
  </si>
  <si>
    <t>DEM_APSGRINT</t>
  </si>
  <si>
    <t>aircraft psgr demand — INT</t>
  </si>
  <si>
    <t>EPS SYVbT x BAADTbVT x AVLo. Sector: aircraft</t>
  </si>
  <si>
    <t>DEM_APSGRDOM</t>
  </si>
  <si>
    <t>aircraft psgr demand — DOM</t>
  </si>
  <si>
    <t>DEM_AFRGTINT</t>
  </si>
  <si>
    <t>aircraft frgt demand — INT</t>
  </si>
  <si>
    <t>DEM_AFRGTDOM</t>
  </si>
  <si>
    <t>aircraft frgt demand — DOM</t>
  </si>
  <si>
    <t>DEM_RPSGRICY</t>
  </si>
  <si>
    <t>rail psgr demand — ICY</t>
  </si>
  <si>
    <t>EPS SYVbT x BAADTbVT x AVLo. Sector: rail</t>
  </si>
  <si>
    <t>DEM_RPSGRLOC</t>
  </si>
  <si>
    <t>rail psgr demand — LOC</t>
  </si>
  <si>
    <t>DEM_RFRGTICY</t>
  </si>
  <si>
    <t>rail frgt demand — ICY</t>
  </si>
  <si>
    <t>DEM_RFRGTLOC</t>
  </si>
  <si>
    <t>rail frgt demand — LOC</t>
  </si>
  <si>
    <t>DEM_SPSGROCN</t>
  </si>
  <si>
    <t>ships psgr demand — OCN</t>
  </si>
  <si>
    <t>EPS SYVbT x BAADTbVT x AVLo. Sector: ships</t>
  </si>
  <si>
    <t>DEM_SPSGRCST</t>
  </si>
  <si>
    <t>ships psgr demand — CST</t>
  </si>
  <si>
    <t>DEM_SFRGTOCN</t>
  </si>
  <si>
    <t>ships frgt demand — OCN</t>
  </si>
  <si>
    <t>DEM_SFRGTCST</t>
  </si>
  <si>
    <t>ships frgt demand — CST</t>
  </si>
  <si>
    <t>DEM_MPSGRHWY</t>
  </si>
  <si>
    <t>motorbikes psgr demand — HWY</t>
  </si>
  <si>
    <t>EPS SYVbT x BAADTbVT x AVLo. Sector: motorbikes</t>
  </si>
  <si>
    <t>DEM_MPSGRCTY</t>
  </si>
  <si>
    <t>motorbikes psgr demand — CTY</t>
  </si>
  <si>
    <t>DEM_MFRGTHWY</t>
  </si>
  <si>
    <t>motorbikes frgt demand — HWY</t>
  </si>
  <si>
    <t>DEM_MFRGTCTY</t>
  </si>
  <si>
    <t>motorbikes frgt demand — CTY</t>
  </si>
  <si>
    <t>demand_name</t>
  </si>
  <si>
    <t>scenario</t>
  </si>
  <si>
    <t>base_year_value</t>
  </si>
  <si>
    <t>CAGR_to_2030</t>
  </si>
  <si>
    <t>CAGR_to_2035</t>
  </si>
  <si>
    <t>CAGR_to_2040</t>
  </si>
  <si>
    <t>CAGR_to_2045</t>
  </si>
  <si>
    <t>CAGR_to_2050</t>
  </si>
  <si>
    <t>source</t>
  </si>
  <si>
    <t>base</t>
  </si>
  <si>
    <t>EPS BCDTRtSY-psgr.csv, LDVs row (period CAGR from 2025 base)</t>
  </si>
  <si>
    <t>Edit CAGR values here to change demand projections. demand tab y-year columns contain formulas referencing these cells.</t>
  </si>
  <si>
    <t>EPS BCDTRtSY-frgt.csv, LDVs row (period CAGR from 2025 base)</t>
  </si>
  <si>
    <t>EPS BCDTRtSY-psgr.csv, HDVs row (period CAGR from 2025 base)</t>
  </si>
  <si>
    <t>EPS BCDTRtSY-frgt.csv, HDVs row (period CAGR from 2025 base)</t>
  </si>
  <si>
    <t>EPS BCDTRtSY, aircraft row</t>
  </si>
  <si>
    <t>Edit CAGR values here to change demand projections.</t>
  </si>
  <si>
    <t>EPS BCDTRtSY, rail row</t>
  </si>
  <si>
    <t>EPS BCDTRtSY, ships row</t>
  </si>
  <si>
    <t>EPS BCDTRtSY, motorbikes row</t>
  </si>
  <si>
    <t>ava_up_PJ_2025</t>
  </si>
  <si>
    <t>ava_up_PJ_2035</t>
  </si>
  <si>
    <t>ava_up_PJ_2100</t>
  </si>
  <si>
    <t>SUP_GSL</t>
  </si>
  <si>
    <t>2025 placeholder — MUSD/PJ. Source: transport.Rmd / LDV-passenger.Rmd</t>
  </si>
  <si>
    <t>SUP_DSL</t>
  </si>
  <si>
    <t>SUP_BIO</t>
  </si>
  <si>
    <t>SUP_ELCPJ</t>
  </si>
  <si>
    <t>SUP_CNG</t>
  </si>
  <si>
    <t>SUP_LPG</t>
  </si>
  <si>
    <t>SUP_H2</t>
  </si>
  <si>
    <t>SUP_GSL10</t>
  </si>
  <si>
    <t>Price (Rs/ l)/ (Rs/kg)/ (Rs/kWh)</t>
  </si>
  <si>
    <t>Price in 2025 Rs</t>
  </si>
  <si>
    <t>LHV values (L/BTU) or (kg/BTU)</t>
  </si>
  <si>
    <t>Price (Rs/BTU)</t>
  </si>
  <si>
    <t>Price (Rs/kJ)</t>
  </si>
  <si>
    <t>Price (cr.₹/PJ)</t>
  </si>
  <si>
    <t>Price (MUSD/PJ)</t>
  </si>
  <si>
    <t>Notes</t>
  </si>
  <si>
    <t>Source</t>
  </si>
  <si>
    <t>2025 average price is taken</t>
  </si>
  <si>
    <t>Petrol Price in India: Year-Wise History From 1947 to 2026</t>
  </si>
  <si>
    <t>Diesel Price In India: Yearly History From 2004 To 2026</t>
  </si>
  <si>
    <t>Ethanol biofuel prices are same as Gasoline</t>
  </si>
  <si>
    <t xml:space="preserve">EV charging station tariff (CSEP). Electricity prices range from Rs. 4 to Rs.13 per kWh depending on vehicle segment, location of charging etc. (CEEW). </t>
  </si>
  <si>
    <t>ceew-2-tco-annexure-28may25.pdf</t>
  </si>
  <si>
    <t>The-Fiscal-Impact-of-Indias-EV-Transition-Tax-Revenue-Losses-Go-Beyond-Fuel-2.pdf</t>
  </si>
  <si>
    <t>CNG price varies from 85 Rs/kg to 95 Rs/kg in 2025</t>
  </si>
  <si>
    <t>CNG Price</t>
  </si>
  <si>
    <t>LPG prices were around Rs 57/l in 2023</t>
  </si>
  <si>
    <t>Auto LPG Stations in India : All States and Cities</t>
  </si>
  <si>
    <t>Rs 280 per kg, Based on 2026 tender for green hydrogen</t>
  </si>
  <si>
    <t>India hits lowest green hydrogen price, moves closer to $2/kg goal: Amitabh Kant, ETEnergyworld</t>
  </si>
  <si>
    <t>ava_up</t>
  </si>
  <si>
    <t>SUP_PETRO_REFUEL</t>
  </si>
  <si>
    <t>MUSD/PJ</t>
  </si>
  <si>
    <t>Placeholder — region=NA means model-wide. Used as auxiliary supply.</t>
  </si>
  <si>
    <t>SUP_CNG_REFUEL</t>
  </si>
  <si>
    <t>SUP_LPG_REFUEL</t>
  </si>
  <si>
    <t>SUP_EV_CHARGING</t>
  </si>
  <si>
    <t>MUSD/GWh</t>
  </si>
  <si>
    <t>input_comm</t>
  </si>
  <si>
    <t>input_unit</t>
  </si>
  <si>
    <t>output_comm</t>
  </si>
  <si>
    <t>output_unit</t>
  </si>
  <si>
    <t>cap2act</t>
  </si>
  <si>
    <t>olife</t>
  </si>
  <si>
    <t>invcost_2025</t>
  </si>
  <si>
    <t>fixom_2025</t>
  </si>
  <si>
    <t>varom</t>
  </si>
  <si>
    <t>cng_leak</t>
  </si>
  <si>
    <t>cinp_comms</t>
  </si>
  <si>
    <t>cinp2ainp_ratio</t>
  </si>
  <si>
    <t>INFR_PETRO_REFUEL</t>
  </si>
  <si>
    <t>Petrol/diesel refueling station infrastructure</t>
  </si>
  <si>
    <t>GSL,DSL,BIO</t>
  </si>
  <si>
    <t>Petrol/diesel stations. varom covers retailer margin. GSL+DSL+BIO vehicles.</t>
  </si>
  <si>
    <t>INFR_CNG_REFUEL</t>
  </si>
  <si>
    <t>CNG compressor &amp; refueling station infrastructure (with fugitive CH4 leakage)</t>
  </si>
  <si>
    <t>CNG compressor stations. 1% fugitive CH4 via aeff act2aout=0.01 -&gt; CNG_LEAK.</t>
  </si>
  <si>
    <t>INFR_LPG_REFUEL</t>
  </si>
  <si>
    <t>LPG autogas dispensing station infrastructure</t>
  </si>
  <si>
    <t>LPG autogas stations. Similar cost structure to petrol.</t>
  </si>
  <si>
    <t>INFR_EV_CHARGING</t>
  </si>
  <si>
    <t>EV charging station infrastructure (AC/DC mix)</t>
  </si>
  <si>
    <t>Public EV charging (AC + DC fast mix). Costs per GWh/yr of capacity.</t>
  </si>
  <si>
    <t>fuels</t>
  </si>
  <si>
    <t>primary_fuel</t>
  </si>
  <si>
    <t>blend_fuel</t>
  </si>
  <si>
    <t>blend_share_up</t>
  </si>
  <si>
    <t>eff_hwy</t>
  </si>
  <si>
    <t>eff_cty</t>
  </si>
  <si>
    <t>eff_unit</t>
  </si>
  <si>
    <t>avg_km_yr</t>
  </si>
  <si>
    <t>capacity_units</t>
  </si>
  <si>
    <t>load_per_vehicle_hwy</t>
  </si>
  <si>
    <t>load_per_vehicle_cty</t>
  </si>
  <si>
    <t>share_hwy_up</t>
  </si>
  <si>
    <t>share_cty_up</t>
  </si>
  <si>
    <t>invcost_2030</t>
  </si>
  <si>
    <t>invcost_2035</t>
  </si>
  <si>
    <t>invcost_2040</t>
  </si>
  <si>
    <t>invcost_2045</t>
  </si>
  <si>
    <t>invcost_2050</t>
  </si>
  <si>
    <t>fixom_2030</t>
  </si>
  <si>
    <t>fixom_2035</t>
  </si>
  <si>
    <t>fixom_2040</t>
  </si>
  <si>
    <t>fixom_2045</t>
  </si>
  <si>
    <t>fixom_2050</t>
  </si>
  <si>
    <t>service_hwy</t>
  </si>
  <si>
    <t>service_cty</t>
  </si>
  <si>
    <t>load_unit</t>
  </si>
  <si>
    <t>LDV_GSL</t>
  </si>
  <si>
    <t>Gasoline Light Duty Vehicle</t>
  </si>
  <si>
    <t>L/100km</t>
  </si>
  <si>
    <t>passengers</t>
  </si>
  <si>
    <t>LDV_DSL</t>
  </si>
  <si>
    <t>Diesel Light Duty Vehicle</t>
  </si>
  <si>
    <t>LDV_E10</t>
  </si>
  <si>
    <t>Gasoline–Ethanol Blend (E10) Light Duty Vehicle</t>
  </si>
  <si>
    <t>GSL|BIO</t>
  </si>
  <si>
    <t>LDV_E85</t>
  </si>
  <si>
    <t>E85 Flex-Fuel Light Duty Vehicle (85% Ethanol)</t>
  </si>
  <si>
    <t>LDV_E100</t>
  </si>
  <si>
    <t>Pure Ethanol (E100) Light Duty Vehicle</t>
  </si>
  <si>
    <t>LDV_B100</t>
  </si>
  <si>
    <t>Pure Biodiesel (B100) Light Duty Vehicle</t>
  </si>
  <si>
    <t>LDV_CNG</t>
  </si>
  <si>
    <t>Compressed Natural Gas Light Duty Vehicle</t>
  </si>
  <si>
    <t>MJ/km</t>
  </si>
  <si>
    <t>LDV_LPG</t>
  </si>
  <si>
    <t>LPG (Autogas) Light Duty Vehicle</t>
  </si>
  <si>
    <t>LDV_HYB</t>
  </si>
  <si>
    <t>Gasoline Hybrid Light Duty Vehicle</t>
  </si>
  <si>
    <t>LDV_PHEV</t>
  </si>
  <si>
    <t>Plug-in Hybrid Light Duty Vehicle (combined cycle)</t>
  </si>
  <si>
    <t>GSL|ELCPJ</t>
  </si>
  <si>
    <t>LDV_BEV</t>
  </si>
  <si>
    <t>Battery Electric Light Duty Vehicle</t>
  </si>
  <si>
    <t>km/kWh</t>
  </si>
  <si>
    <t>LDV_H2</t>
  </si>
  <si>
    <t>Hydrogen Fuel Cell Light Duty Vehicle</t>
  </si>
  <si>
    <t>LDVF_DSL</t>
  </si>
  <si>
    <t>LDVF_DSL LDV_frgt vehicle</t>
  </si>
  <si>
    <t>DSL|BIO</t>
  </si>
  <si>
    <t>tonnes</t>
  </si>
  <si>
    <t>LDVF_CNG</t>
  </si>
  <si>
    <t>LDVF_CNG LDV_frgt vehicle</t>
  </si>
  <si>
    <t>LDVF_BEV</t>
  </si>
  <si>
    <t>LDVF_BEV LDV_frgt vehicle</t>
  </si>
  <si>
    <t>HDV_DSL</t>
  </si>
  <si>
    <t>HDV_DSL HDV_psgr vehicle</t>
  </si>
  <si>
    <t>HDV_CNG</t>
  </si>
  <si>
    <t>HDV_CNG HDV_psgr vehicle</t>
  </si>
  <si>
    <t>HDV_BEV</t>
  </si>
  <si>
    <t>HDV_BEV HDV_psgr vehicle</t>
  </si>
  <si>
    <t>HDVF_DSL</t>
  </si>
  <si>
    <t>HDVF_DSL HDV_frgt vehicle</t>
  </si>
  <si>
    <t>HDVF_CNG</t>
  </si>
  <si>
    <t>HDVF_CNG HDV_frgt vehicle</t>
  </si>
  <si>
    <t>HDVF_BEV</t>
  </si>
  <si>
    <t>HDVF_BEV HDV_frgt vehicle</t>
  </si>
  <si>
    <t>ARC_DSL</t>
  </si>
  <si>
    <t>ARC_DSL aircraft_psgr vehicle</t>
  </si>
  <si>
    <t>ARC_BEV</t>
  </si>
  <si>
    <t>ARC_BEV aircraft_psgr vehicle</t>
  </si>
  <si>
    <t>ARC_H2</t>
  </si>
  <si>
    <t>ARC_H2 aircraft_psgr vehicle</t>
  </si>
  <si>
    <t>ARCF_DSL</t>
  </si>
  <si>
    <t>ARCF_DSL aircraft_frgt vehicle</t>
  </si>
  <si>
    <t>ARCF_BEV</t>
  </si>
  <si>
    <t>ARCF_BEV aircraft_frgt vehicle</t>
  </si>
  <si>
    <t>ARCF_H2</t>
  </si>
  <si>
    <t>ARCF_H2 aircraft_frgt vehicle</t>
  </si>
  <si>
    <t>RAIL_BEV</t>
  </si>
  <si>
    <t>RAIL_BEV rail_psgr vehicle</t>
  </si>
  <si>
    <t>RAIL_DSL</t>
  </si>
  <si>
    <t>RAIL_DSL rail_psgr vehicle</t>
  </si>
  <si>
    <t>RAIL_H2</t>
  </si>
  <si>
    <t>RAIL_H2 rail_psgr vehicle</t>
  </si>
  <si>
    <t>RAILF_BEV</t>
  </si>
  <si>
    <t>RAILF_BEV rail_frgt vehicle</t>
  </si>
  <si>
    <t>RAILF_DSL</t>
  </si>
  <si>
    <t>RAILF_DSL rail_frgt vehicle</t>
  </si>
  <si>
    <t>RAILF_H2</t>
  </si>
  <si>
    <t>RAILF_H2 rail_frgt vehicle</t>
  </si>
  <si>
    <t>SHIP_DSL</t>
  </si>
  <si>
    <t>SHIP_DSL ships_psgr vehicle</t>
  </si>
  <si>
    <t>SHIP_H2</t>
  </si>
  <si>
    <t>SHIP_H2 ships_psgr vehicle</t>
  </si>
  <si>
    <t>SHIPF_DSL</t>
  </si>
  <si>
    <t>SHIPF_DSL ships_frgt vehicle</t>
  </si>
  <si>
    <t>SHIPF_H2</t>
  </si>
  <si>
    <t>SHIPF_H2 ships_frgt vehicle</t>
  </si>
  <si>
    <t>MOTO_GSL</t>
  </si>
  <si>
    <t>MOTO_GSL motorbikes_psgr vehicle</t>
  </si>
  <si>
    <t>MOTO_BEV</t>
  </si>
  <si>
    <t>MOTO_BEV motorbikes_psgr vehicle</t>
  </si>
  <si>
    <t>MOTO_CNG</t>
  </si>
  <si>
    <t>MOTOF_GSL</t>
  </si>
  <si>
    <t>MOTOF_GSL motorbikes_frgt vehicle</t>
  </si>
  <si>
    <t>MOTOF_BEV</t>
  </si>
  <si>
    <t>MOTOF_BEV motorbikes_frgt vehicle</t>
  </si>
  <si>
    <t>MOTOF_DSL</t>
  </si>
  <si>
    <t>MOTOF_DSL motorbikes_frgt vehicle</t>
  </si>
  <si>
    <t>MOTOF_CNG</t>
  </si>
  <si>
    <t>MOTOF_CNG motorbikes_frgt vehicle</t>
  </si>
  <si>
    <t>new</t>
  </si>
  <si>
    <t>stock_2024</t>
  </si>
  <si>
    <t>stock_2025</t>
  </si>
  <si>
    <t>stock_2030</t>
  </si>
  <si>
    <t>stock_2035</t>
  </si>
  <si>
    <t>stock_2040</t>
  </si>
  <si>
    <t>stock_2045</t>
  </si>
  <si>
    <t>stock_2050</t>
  </si>
  <si>
    <t>cap.lo</t>
  </si>
  <si>
    <t>cap.up</t>
  </si>
  <si>
    <t>cap.fx</t>
  </si>
  <si>
    <t>ncap.lo</t>
  </si>
  <si>
    <t>ncap.up</t>
  </si>
  <si>
    <t>ncap.fx</t>
  </si>
  <si>
    <t>Stock from EPS SYVbT-passenger (2018 base) in 1000-vehicle units. NA techs (E10/E85/E100/B100/HYB) set to 0 — counted under GSL/DSL parent. Recalibrate for 2024 from MoRTH/VAHAN before use.</t>
  </si>
  <si>
    <t>Stock from EPS SYVbT-freight (2018 base) LDVs row. 1000-vehicle units.</t>
  </si>
  <si>
    <t>Stock from EPS SYVbT-passenger (2018 base) HDVs row. 1000-vehicle units.</t>
  </si>
  <si>
    <t>Stock from EPS SYVbT-freight (2018 base) HDVs row. 1000-vehicle units.</t>
  </si>
  <si>
    <t>Stock from EPS SYVbT-passenger (2018 base) aircraft row. 1000-vehicle units.</t>
  </si>
  <si>
    <t>Stock from EPS SYVbT-freight (2018 base) aircraft row. 1000-vehicle units.</t>
  </si>
  <si>
    <t>Stock from EPS SYVbT-passenger (2018 base) rail row. 1000-vehicle units.</t>
  </si>
  <si>
    <t>Stock from EPS SYVbT-freight (2018 base) rail row. 1000-vehicle units.</t>
  </si>
  <si>
    <t>Stock from EPS SYVbT-passenger (2018 base) ships row. 1000-vehicle units.</t>
  </si>
  <si>
    <t>Stock from EPS SYVbT-freight (2018 base) ships row. 1000-vehicle units.</t>
  </si>
  <si>
    <t>Stock from EPS SYVbT-passenger (2018 base) motorbikes row. 1000-vehicle units.</t>
  </si>
  <si>
    <t>Stock from EPS SYVbT-freight (2018 base) motorbikes row. 1000-vehicle units.</t>
  </si>
  <si>
    <t>Vehicle fleet data</t>
  </si>
  <si>
    <t xml:space="preserve">1. Based on average vehicle lifetimes, registration data was obtained from VAHAN. </t>
  </si>
  <si>
    <t>2. For cars average life=15 years, for all other=10 years</t>
  </si>
  <si>
    <t>3. diff fuel categorisations have been clubbed together based on structure of IDEEA (kindly refer to the note below the table)</t>
  </si>
  <si>
    <t>VEHICLE CATEGORY</t>
  </si>
  <si>
    <t>E20| GSL</t>
  </si>
  <si>
    <t>HYB</t>
  </si>
  <si>
    <t>PHEV</t>
  </si>
  <si>
    <t>BEV</t>
  </si>
  <si>
    <t>OTHERS</t>
  </si>
  <si>
    <t>HEAVY GOODS VEHICLE</t>
  </si>
  <si>
    <t>HEAVY PASSENGER VEHICLE</t>
  </si>
  <si>
    <t>LIGHT GOODS VEHICLE (4W_freight)</t>
  </si>
  <si>
    <t>MEDIUM GOODS VEHICLE</t>
  </si>
  <si>
    <t>MEDIUM PASSENGER VEHICLE</t>
  </si>
  <si>
    <t>TWO-WHEELER</t>
  </si>
  <si>
    <t>LIGHT DUTY VEHICLE</t>
  </si>
  <si>
    <t>E-RICKSHAW(P)</t>
  </si>
  <si>
    <t>THREE WHEELER (GOODS)</t>
  </si>
  <si>
    <t>THREE WHEELER (PASSENGER)</t>
  </si>
  <si>
    <t xml:space="preserve">Note: </t>
  </si>
  <si>
    <t>1. Diesel hybrids are included with diesel while petrol hybrid is a separate category</t>
  </si>
  <si>
    <t>2. All gasoline vehicles are considered E20|GSL from 2025 onwards</t>
  </si>
  <si>
    <t>3. CNG includes CNG+Petrol/CNG</t>
  </si>
  <si>
    <t>4. LPG includes LPG+PETROL/LPG</t>
  </si>
  <si>
    <t>Shares</t>
  </si>
  <si>
    <t>LIGHT GOODS VEHICLE</t>
  </si>
  <si>
    <t>type</t>
  </si>
  <si>
    <t>tech</t>
  </si>
  <si>
    <t>E10_MANDATE</t>
  </si>
  <si>
    <t>Minimum ethanol blend share in GSL fleet vehicles (E10 mandate, 10%)</t>
  </si>
  <si>
    <t>share.lo</t>
  </si>
  <si>
    <t>Value = min BIO share [0-1] in total GSL input by year (e.g. 0.10)</t>
  </si>
  <si>
    <t>E20_MANDATE</t>
  </si>
  <si>
    <t>Minimum ethanol blend share in GSL fleet vehicles (E20 mandate, 20%)</t>
  </si>
  <si>
    <t>Value = min BIO share [0-1] in total GSL input by year (e.g. 0.20)</t>
  </si>
  <si>
    <t>EV_NCAP_MIN</t>
  </si>
  <si>
    <t>Minimum new EV capacity additions per year (EV mandate)</t>
  </si>
  <si>
    <t>Value = min new 1000-vehicle units/year for LDV_BEV</t>
  </si>
  <si>
    <t>CO2_CAP_TRANSPORT</t>
  </si>
  <si>
    <t>Maximum CO2 emissions from LDV transport sector per year</t>
  </si>
  <si>
    <t>emission_cap</t>
  </si>
  <si>
    <t>CO2</t>
  </si>
  <si>
    <t>Value = max MtCO2/year from LDV transport</t>
  </si>
  <si>
    <t>MOTO_LPG</t>
  </si>
  <si>
    <t>MOTO_LPG motorbikes_psgr vehicle</t>
  </si>
  <si>
    <t>MOTOF_LPG</t>
  </si>
  <si>
    <t>year</t>
  </si>
  <si>
    <t>MH</t>
  </si>
  <si>
    <t>vintage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</si>
</sst>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000"/>
    <numFmt numFmtId="166" formatCode="0.00000"/>
  </numFmts>
  <fonts count="17" x14ac:knownFonts="1">
    <font>
      <sz val="11"/>
      <color rgb="FF000000"/>
      <name val="Calibri"/>
      <family val="2"/>
      <scheme val="minor"/>
    </font>
    <font>
      <sz val="11"/>
      <color theme="1"/>
      <name val="Calibri"/>
      <family val="2"/>
      <scheme val="minor"/>
    </font>
    <font>
      <b/>
      <sz val="11"/>
      <color rgb="FFFFFFFF"/>
      <name val="Calibri"/>
    </font>
    <font>
      <sz val="11"/>
      <color rgb="FF000000"/>
      <name val="Calibri"/>
      <family val="2"/>
      <scheme val="minor"/>
    </font>
    <font>
      <u/>
      <sz val="11"/>
      <color theme="10"/>
      <name val="Calibri"/>
      <family val="2"/>
      <scheme val="minor"/>
    </font>
    <font>
      <sz val="11"/>
      <color theme="1"/>
      <name val="Calibri"/>
      <family val="2"/>
      <scheme val="minor"/>
    </font>
    <font>
      <b/>
      <sz val="10"/>
      <color rgb="FFFFFFFF"/>
      <name val="Arial"/>
    </font>
    <font>
      <b/>
      <sz val="10"/>
      <color rgb="FFFFFFFF"/>
      <name val="Arial"/>
      <family val="2"/>
    </font>
    <font>
      <b/>
      <sz val="10"/>
      <name val="Arial"/>
    </font>
    <font>
      <sz val="10"/>
      <name val="Arial"/>
    </font>
    <font>
      <b/>
      <sz val="10"/>
      <name val="Arial"/>
      <family val="2"/>
    </font>
    <font>
      <sz val="11"/>
      <color rgb="FF000000"/>
      <name val="Calibri"/>
      <family val="2"/>
    </font>
    <font>
      <sz val="10"/>
      <name val="Arial"/>
      <family val="2"/>
    </font>
    <font>
      <b/>
      <sz val="11"/>
      <color rgb="FF000000"/>
      <name val="Calibri"/>
      <family val="2"/>
    </font>
    <font>
      <b/>
      <sz val="11"/>
      <color rgb="FF000000"/>
      <name val="Calibri"/>
      <family val="2"/>
      <scheme val="minor"/>
    </font>
    <font>
      <b/>
      <sz val="11"/>
      <color rgb="FFFFFFFF"/>
      <name val="Calibri"/>
      <family val="2"/>
    </font>
    <font>
      <sz val="9"/>
      <color indexed="81"/>
      <name val="Tahoma"/>
      <family val="2"/>
    </font>
  </fonts>
  <fills count="11">
    <fill>
      <patternFill patternType="none"/>
    </fill>
    <fill>
      <patternFill patternType="gray125"/>
    </fill>
    <fill>
      <patternFill patternType="solid">
        <fgColor rgb="FFED7D31"/>
      </patternFill>
    </fill>
    <fill>
      <patternFill patternType="solid">
        <fgColor rgb="FF4472C4"/>
      </patternFill>
    </fill>
    <fill>
      <patternFill patternType="solid">
        <fgColor rgb="FF70AD47"/>
      </patternFill>
    </fill>
    <fill>
      <patternFill patternType="solid">
        <fgColor theme="4" tint="0.79998168889431442"/>
        <bgColor theme="4" tint="0.79998168889431442"/>
      </patternFill>
    </fill>
    <fill>
      <patternFill patternType="solid">
        <fgColor rgb="FF1F4E79"/>
        <bgColor rgb="FF000000"/>
      </patternFill>
    </fill>
    <fill>
      <patternFill patternType="solid">
        <fgColor rgb="FFD6E4F0"/>
        <bgColor rgb="FF000000"/>
      </patternFill>
    </fill>
    <fill>
      <patternFill patternType="solid">
        <fgColor rgb="FFFFFFFF"/>
        <bgColor rgb="FF000000"/>
      </patternFill>
    </fill>
    <fill>
      <patternFill patternType="solid">
        <fgColor rgb="FFFFFF00"/>
        <bgColor indexed="64"/>
      </patternFill>
    </fill>
    <fill>
      <patternFill patternType="solid">
        <fgColor theme="4" tint="0.59999389629810485"/>
        <bgColor theme="4" tint="0.59999389629810485"/>
      </patternFill>
    </fill>
  </fills>
  <borders count="11">
    <border>
      <left/>
      <right/>
      <top/>
      <bottom/>
      <diagonal/>
    </border>
    <border>
      <left/>
      <right/>
      <top style="thin">
        <color theme="4" tint="0.39997558519241921"/>
      </top>
      <bottom style="thin">
        <color theme="4" tint="0.39997558519241921"/>
      </bottom>
      <diagonal/>
    </border>
    <border>
      <left style="thin">
        <color rgb="FFB0BEC5"/>
      </left>
      <right style="thin">
        <color rgb="FFB0BEC5"/>
      </right>
      <top style="thin">
        <color rgb="FFB0BEC5"/>
      </top>
      <bottom style="thin">
        <color rgb="FFB0BEC5"/>
      </bottom>
      <diagonal/>
    </border>
    <border>
      <left/>
      <right style="thin">
        <color rgb="FFB0BEC5"/>
      </right>
      <top style="thin">
        <color rgb="FFB0BEC5"/>
      </top>
      <bottom style="thin">
        <color rgb="FFB0BEC5"/>
      </bottom>
      <diagonal/>
    </border>
    <border>
      <left style="thin">
        <color rgb="FFB0BEC5"/>
      </left>
      <right style="thin">
        <color rgb="FFB0BEC5"/>
      </right>
      <top/>
      <bottom style="thin">
        <color rgb="FFB0BEC5"/>
      </bottom>
      <diagonal/>
    </border>
    <border>
      <left/>
      <right style="thin">
        <color rgb="FFB0BEC5"/>
      </right>
      <top/>
      <bottom style="thin">
        <color rgb="FFB0BEC5"/>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s>
  <cellStyleXfs count="3">
    <xf numFmtId="0" fontId="0" fillId="0" borderId="0"/>
    <xf numFmtId="43" fontId="3" fillId="0" borderId="0" applyFont="0" applyFill="0" applyBorder="0" applyAlignment="0" applyProtection="0"/>
    <xf numFmtId="0" fontId="4" fillId="0" borderId="0" applyNumberFormat="0" applyFill="0" applyBorder="0" applyAlignment="0" applyProtection="0"/>
  </cellStyleXfs>
  <cellXfs count="37">
    <xf numFmtId="0" fontId="0" fillId="0" borderId="0" xfId="0"/>
    <xf numFmtId="0" fontId="2" fillId="2" borderId="0" xfId="0" applyFont="1" applyFill="1" applyAlignment="1">
      <alignment horizontal="left"/>
    </xf>
    <xf numFmtId="0" fontId="2" fillId="3" borderId="0" xfId="0" applyFont="1" applyFill="1" applyAlignment="1">
      <alignment horizontal="left"/>
    </xf>
    <xf numFmtId="0" fontId="2" fillId="4" borderId="0" xfId="0" applyFont="1" applyFill="1" applyAlignment="1">
      <alignment horizontal="left"/>
    </xf>
    <xf numFmtId="164" fontId="0" fillId="0" borderId="0" xfId="1" applyNumberFormat="1" applyFont="1"/>
    <xf numFmtId="0" fontId="4" fillId="0" borderId="0" xfId="2"/>
    <xf numFmtId="0" fontId="5" fillId="5" borderId="1" xfId="0" applyFont="1" applyFill="1" applyBorder="1"/>
    <xf numFmtId="0" fontId="5" fillId="0" borderId="1" xfId="0" applyFont="1" applyBorder="1"/>
    <xf numFmtId="165" fontId="0" fillId="0" borderId="0" xfId="0" applyNumberFormat="1"/>
    <xf numFmtId="166" fontId="0" fillId="0" borderId="0" xfId="0" applyNumberFormat="1"/>
    <xf numFmtId="0" fontId="6" fillId="6" borderId="2" xfId="0" applyFont="1" applyFill="1" applyBorder="1"/>
    <xf numFmtId="0" fontId="7" fillId="6" borderId="3" xfId="0" applyFont="1" applyFill="1" applyBorder="1" applyAlignment="1">
      <alignment wrapText="1"/>
    </xf>
    <xf numFmtId="0" fontId="6" fillId="6" borderId="3" xfId="0" applyFont="1" applyFill="1" applyBorder="1" applyAlignment="1">
      <alignment wrapText="1"/>
    </xf>
    <xf numFmtId="0" fontId="8" fillId="7" borderId="4" xfId="0" applyFont="1" applyFill="1" applyBorder="1"/>
    <xf numFmtId="0" fontId="9" fillId="8" borderId="5" xfId="0" applyFont="1" applyFill="1" applyBorder="1"/>
    <xf numFmtId="3" fontId="9" fillId="8" borderId="5" xfId="0" applyNumberFormat="1" applyFont="1" applyFill="1" applyBorder="1"/>
    <xf numFmtId="0" fontId="10" fillId="7" borderId="4" xfId="0" applyFont="1" applyFill="1" applyBorder="1"/>
    <xf numFmtId="0" fontId="11" fillId="0" borderId="0" xfId="0" applyFont="1"/>
    <xf numFmtId="0" fontId="8" fillId="0" borderId="0" xfId="0" applyFont="1"/>
    <xf numFmtId="0" fontId="12" fillId="0" borderId="0" xfId="0" applyFont="1"/>
    <xf numFmtId="0" fontId="13" fillId="0" borderId="0" xfId="0" applyFont="1"/>
    <xf numFmtId="9" fontId="9" fillId="8" borderId="5" xfId="0" applyNumberFormat="1" applyFont="1" applyFill="1" applyBorder="1"/>
    <xf numFmtId="0" fontId="14" fillId="0" borderId="0" xfId="0" applyFont="1"/>
    <xf numFmtId="2" fontId="0" fillId="0" borderId="0" xfId="0" applyNumberFormat="1"/>
    <xf numFmtId="0" fontId="0" fillId="9" borderId="0" xfId="0" applyFill="1"/>
    <xf numFmtId="166" fontId="0" fillId="9" borderId="0" xfId="0" applyNumberFormat="1" applyFill="1"/>
    <xf numFmtId="165" fontId="0" fillId="9" borderId="0" xfId="0" applyNumberFormat="1" applyFill="1"/>
    <xf numFmtId="2" fontId="0" fillId="9" borderId="0" xfId="0" applyNumberFormat="1" applyFill="1"/>
    <xf numFmtId="0" fontId="0" fillId="0" borderId="0" xfId="0" applyProtection="1">
      <protection locked="0"/>
    </xf>
    <xf numFmtId="0" fontId="1" fillId="10" borderId="8" xfId="0" applyFont="1" applyFill="1" applyBorder="1"/>
    <xf numFmtId="0" fontId="1" fillId="10" borderId="9" xfId="0" applyFont="1" applyFill="1" applyBorder="1"/>
    <xf numFmtId="0" fontId="1" fillId="5" borderId="8" xfId="0" applyFont="1" applyFill="1" applyBorder="1"/>
    <xf numFmtId="0" fontId="1" fillId="5" borderId="9" xfId="0" applyFont="1" applyFill="1" applyBorder="1"/>
    <xf numFmtId="0" fontId="15" fillId="3" borderId="6" xfId="0" applyFont="1" applyFill="1" applyBorder="1" applyAlignment="1">
      <alignment horizontal="center"/>
    </xf>
    <xf numFmtId="0" fontId="15" fillId="3" borderId="7" xfId="0" applyFont="1" applyFill="1" applyBorder="1" applyAlignment="1">
      <alignment horizontal="center"/>
    </xf>
    <xf numFmtId="0" fontId="15" fillId="3" borderId="10" xfId="0" applyFont="1" applyFill="1" applyBorder="1" applyAlignment="1">
      <alignment horizontal="center"/>
    </xf>
    <xf numFmtId="0" fontId="0" fillId="0" borderId="0" xfId="0" applyAlignment="1">
      <alignment horizontal="center"/>
    </xf>
  </cellXfs>
  <cellStyles count="3">
    <cellStyle name="Comma" xfId="1" builtinId="3"/>
    <cellStyle name="Hyperlink" xfId="2" builtinId="8"/>
    <cellStyle name="Normal" xfId="0" builtinId="0"/>
  </cellStyles>
  <dxfs count="9">
    <dxf>
      <numFmt numFmtId="0" formatCode="General"/>
      <protection locked="0" hidden="0"/>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olugovoy@optimalsolution.dev" id="{C97DC623-9A5B-4A05-B7CB-0FBBBD9AF8ED}" userId="S::urn:spo:guest#olugovoy@optimalsolution.dev::" providerId="AD"/>
  <person displayName="Tarandeep Kaur" id="{C28D6EE3-005E-4699-8FCF-11B6538F1490}" userId="S::Tarandeep.Kaur@wri.org::93c569bd-0177-4f77-8c56-436640f5796c" providerId="AD"/>
  <person displayName="Tarandeep Kaur" id="{D6554873-53F8-4986-8D4E-054B6C99AF72}" userId="S::tarandeep.kaur@wri.org::93c569bd-0177-4f77-8c56-436640f5796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C13" totalsRowShown="0">
  <autoFilter ref="A1:C13" xr:uid="{00000000-0009-0000-0100-000003000000}"/>
  <tableColumns count="3">
    <tableColumn id="1" xr3:uid="{00000000-0010-0000-0000-000001000000}" name="key"/>
    <tableColumn id="2" xr3:uid="{00000000-0010-0000-0000-000002000000}" name="value"/>
    <tableColumn id="3" xr3:uid="{00000000-0010-0000-0000-000003000000}" name="note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J39" totalsRowShown="0">
  <autoFilter ref="A1:J39" xr:uid="{00000000-0009-0000-0100-000004000000}"/>
  <tableColumns count="10">
    <tableColumn id="1" xr3:uid="{00000000-0010-0000-0100-000001000000}" name="name"/>
    <tableColumn id="2" xr3:uid="{00000000-0010-0000-0100-000002000000}" name="desc"/>
    <tableColumn id="3" xr3:uid="{00000000-0010-0000-0100-000003000000}" name="unit"/>
    <tableColumn id="4" xr3:uid="{00000000-0010-0000-0100-000004000000}" name="timeframe"/>
    <tableColumn id="5" xr3:uid="{00000000-0010-0000-0100-000005000000}" name="emis_CO2"/>
    <tableColumn id="6" xr3:uid="{00000000-0010-0000-0100-000006000000}" name="emis_PM"/>
    <tableColumn id="7" xr3:uid="{00000000-0010-0000-0100-000007000000}" name="notes"/>
    <tableColumn id="8" xr3:uid="{00000000-0010-0000-0100-000008000000}" name="branch"/>
    <tableColumn id="9" xr3:uid="{00000000-0010-0000-0100-000009000000}" name="energy_content"/>
    <tableColumn id="10" xr3:uid="{00000000-0010-0000-0100-00000A000000}" name="energy_un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M25" totalsRowShown="0">
  <autoFilter ref="A1:M25" xr:uid="{00000000-0009-0000-0100-000005000000}"/>
  <tableColumns count="13">
    <tableColumn id="1" xr3:uid="{00000000-0010-0000-0200-000001000000}" name="name"/>
    <tableColumn id="2" xr3:uid="{00000000-0010-0000-0200-000002000000}" name="desc"/>
    <tableColumn id="3" xr3:uid="{00000000-0010-0000-0200-000003000000}" name="commodity"/>
    <tableColumn id="4" xr3:uid="{00000000-0010-0000-0200-000004000000}" name="unit"/>
    <tableColumn id="5" xr3:uid="{00000000-0010-0000-0200-000005000000}" name="region"/>
    <tableColumn id="6" xr3:uid="{00000000-0010-0000-0200-000006000000}" name="y2025" dataDxfId="7" dataCellStyle="Comma"/>
    <tableColumn id="7" xr3:uid="{00000000-0010-0000-0200-000007000000}" name="y2030" dataDxfId="6" dataCellStyle="Comma"/>
    <tableColumn id="8" xr3:uid="{00000000-0010-0000-0200-000008000000}" name="y2035" dataDxfId="5" dataCellStyle="Comma"/>
    <tableColumn id="9" xr3:uid="{00000000-0010-0000-0200-000009000000}" name="y2040" dataDxfId="4" dataCellStyle="Comma"/>
    <tableColumn id="10" xr3:uid="{00000000-0010-0000-0200-00000A000000}" name="y2045" dataDxfId="3" dataCellStyle="Comma"/>
    <tableColumn id="11" xr3:uid="{00000000-0010-0000-0200-00000B000000}" name="y2050" dataDxfId="2" dataCellStyle="Comma"/>
    <tableColumn id="12" xr3:uid="{00000000-0010-0000-0200-00000C000000}" name="notes"/>
    <tableColumn id="13" xr3:uid="{00000000-0010-0000-0200-00000D000000}" name="branc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L25" totalsRowShown="0">
  <autoFilter ref="A1:L25" xr:uid="{00000000-0009-0000-0100-000006000000}"/>
  <tableColumns count="12">
    <tableColumn id="1" xr3:uid="{00000000-0010-0000-0300-000001000000}" name="demand_name"/>
    <tableColumn id="2" xr3:uid="{00000000-0010-0000-0300-000002000000}" name="scenario"/>
    <tableColumn id="3" xr3:uid="{00000000-0010-0000-0300-000003000000}" name="base_year"/>
    <tableColumn id="4" xr3:uid="{00000000-0010-0000-0300-000004000000}" name="base_year_value"/>
    <tableColumn id="5" xr3:uid="{00000000-0010-0000-0300-000005000000}" name="CAGR_to_2030"/>
    <tableColumn id="6" xr3:uid="{00000000-0010-0000-0300-000006000000}" name="CAGR_to_2035"/>
    <tableColumn id="7" xr3:uid="{00000000-0010-0000-0300-000007000000}" name="CAGR_to_2040"/>
    <tableColumn id="8" xr3:uid="{00000000-0010-0000-0300-000008000000}" name="CAGR_to_2045"/>
    <tableColumn id="9" xr3:uid="{00000000-0010-0000-0300-000009000000}" name="CAGR_to_2050"/>
    <tableColumn id="10" xr3:uid="{00000000-0010-0000-0300-00000A000000}" name="source"/>
    <tableColumn id="11" xr3:uid="{00000000-0010-0000-0300-00000B000000}" name="notes"/>
    <tableColumn id="12" xr3:uid="{00000000-0010-0000-0300-00000C000000}" name="branch"/>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M9" totalsRowShown="0">
  <autoFilter ref="A1:M9" xr:uid="{00000000-0009-0000-0100-000007000000}"/>
  <tableColumns count="13">
    <tableColumn id="1" xr3:uid="{00000000-0010-0000-0400-000001000000}" name="name"/>
    <tableColumn id="2" xr3:uid="{00000000-0010-0000-0400-000002000000}" name="commodity"/>
    <tableColumn id="3" xr3:uid="{00000000-0010-0000-0400-000003000000}" name="region"/>
    <tableColumn id="4" xr3:uid="{00000000-0010-0000-0400-000004000000}" name="y2025"/>
    <tableColumn id="5" xr3:uid="{00000000-0010-0000-0400-000005000000}" name="y2030" dataDxfId="8">
      <calculatedColumnFormula>Table7[[#This Row],[y2025]]</calculatedColumnFormula>
    </tableColumn>
    <tableColumn id="6" xr3:uid="{00000000-0010-0000-0400-000006000000}" name="y2035"/>
    <tableColumn id="7" xr3:uid="{00000000-0010-0000-0400-000007000000}" name="y2040"/>
    <tableColumn id="8" xr3:uid="{00000000-0010-0000-0400-000008000000}" name="y2045"/>
    <tableColumn id="9" xr3:uid="{00000000-0010-0000-0400-000009000000}" name="y2050"/>
    <tableColumn id="10" xr3:uid="{00000000-0010-0000-0400-00000A000000}" name="ava_up_PJ_2025"/>
    <tableColumn id="13" xr3:uid="{3C8E6600-46C9-422B-9A23-4FDFDDD5476E}" name="ava_up_PJ_2035" dataDxfId="0">
      <calculatedColumnFormula>J2*2</calculatedColumnFormula>
    </tableColumn>
    <tableColumn id="12" xr3:uid="{E8CADAED-7D8E-49AE-9E4D-3A2FAB183DE7}" name="ava_up_PJ_2100" dataDxfId="1">
      <calculatedColumnFormula>Table7[[#This Row],[ava_up_PJ_2035]]*10</calculatedColumnFormula>
    </tableColumn>
    <tableColumn id="11" xr3:uid="{00000000-0010-0000-0400-00000B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L5" totalsRowShown="0">
  <autoFilter ref="A1:L5" xr:uid="{00000000-0009-0000-0100-000008000000}"/>
  <tableColumns count="12">
    <tableColumn id="1" xr3:uid="{00000000-0010-0000-0500-000001000000}" name="name"/>
    <tableColumn id="2" xr3:uid="{00000000-0010-0000-0500-000002000000}" name="commodity"/>
    <tableColumn id="3" xr3:uid="{00000000-0010-0000-0500-000003000000}" name="region"/>
    <tableColumn id="4" xr3:uid="{00000000-0010-0000-0500-000004000000}" name="y2025"/>
    <tableColumn id="5" xr3:uid="{00000000-0010-0000-0500-000005000000}" name="y2030"/>
    <tableColumn id="6" xr3:uid="{00000000-0010-0000-0500-000006000000}" name="y2035"/>
    <tableColumn id="7" xr3:uid="{00000000-0010-0000-0500-000007000000}" name="y2040"/>
    <tableColumn id="8" xr3:uid="{00000000-0010-0000-0500-000008000000}" name="y2045"/>
    <tableColumn id="9" xr3:uid="{00000000-0010-0000-0500-000009000000}" name="y2050"/>
    <tableColumn id="10" xr3:uid="{00000000-0010-0000-0500-00000A000000}" name="ava_up"/>
    <tableColumn id="11" xr3:uid="{00000000-0010-0000-0500-00000B000000}" name="cost_unit"/>
    <tableColumn id="12" xr3:uid="{00000000-0010-0000-0500-00000C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1:O5" totalsRowShown="0">
  <autoFilter ref="A1:O5" xr:uid="{00000000-0009-0000-0100-000009000000}"/>
  <tableColumns count="15">
    <tableColumn id="1" xr3:uid="{00000000-0010-0000-0600-000001000000}" name="name"/>
    <tableColumn id="2" xr3:uid="{00000000-0010-0000-0600-000002000000}" name="desc"/>
    <tableColumn id="3" xr3:uid="{00000000-0010-0000-0600-000003000000}" name="input_comm"/>
    <tableColumn id="4" xr3:uid="{00000000-0010-0000-0600-000004000000}" name="input_unit"/>
    <tableColumn id="5" xr3:uid="{00000000-0010-0000-0600-000005000000}" name="output_comm"/>
    <tableColumn id="6" xr3:uid="{00000000-0010-0000-0600-000006000000}" name="output_unit"/>
    <tableColumn id="7" xr3:uid="{00000000-0010-0000-0600-000007000000}" name="cap2act"/>
    <tableColumn id="8" xr3:uid="{00000000-0010-0000-0600-000008000000}" name="olife"/>
    <tableColumn id="9" xr3:uid="{00000000-0010-0000-0600-000009000000}" name="invcost_2025"/>
    <tableColumn id="10" xr3:uid="{00000000-0010-0000-0600-00000A000000}" name="fixom_2025"/>
    <tableColumn id="11" xr3:uid="{00000000-0010-0000-0600-00000B000000}" name="varom"/>
    <tableColumn id="12" xr3:uid="{00000000-0010-0000-0600-00000C000000}" name="cng_leak"/>
    <tableColumn id="13" xr3:uid="{00000000-0010-0000-0600-00000D000000}" name="cinp_comms"/>
    <tableColumn id="14" xr3:uid="{00000000-0010-0000-0600-00000E000000}" name="cinp2ainp_ratio"/>
    <tableColumn id="15" xr3:uid="{00000000-0010-0000-0600-00000F000000}" name="note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0" displayName="Table10" ref="A1:AG45" totalsRowShown="0">
  <autoFilter ref="A1:AG45" xr:uid="{00000000-0009-0000-0100-00000A000000}"/>
  <tableColumns count="33">
    <tableColumn id="1" xr3:uid="{00000000-0010-0000-0700-000001000000}" name="name"/>
    <tableColumn id="2" xr3:uid="{00000000-0010-0000-0700-000002000000}" name="desc"/>
    <tableColumn id="3" xr3:uid="{00000000-0010-0000-0700-000003000000}" name="fuels"/>
    <tableColumn id="4" xr3:uid="{00000000-0010-0000-0700-000004000000}" name="primary_fuel"/>
    <tableColumn id="5" xr3:uid="{00000000-0010-0000-0700-000005000000}" name="blend_fuel"/>
    <tableColumn id="6" xr3:uid="{00000000-0010-0000-0700-000006000000}" name="blend_share_up"/>
    <tableColumn id="7" xr3:uid="{00000000-0010-0000-0700-000007000000}" name="eff_hwy"/>
    <tableColumn id="8" xr3:uid="{00000000-0010-0000-0700-000008000000}" name="eff_cty"/>
    <tableColumn id="9" xr3:uid="{00000000-0010-0000-0700-000009000000}" name="eff_unit"/>
    <tableColumn id="10" xr3:uid="{00000000-0010-0000-0700-00000A000000}" name="avg_km_yr"/>
    <tableColumn id="11" xr3:uid="{00000000-0010-0000-0700-00000B000000}" name="capacity_units"/>
    <tableColumn id="12" xr3:uid="{00000000-0010-0000-0700-00000C000000}" name="load_per_vehicle_hwy"/>
    <tableColumn id="13" xr3:uid="{00000000-0010-0000-0700-00000D000000}" name="load_per_vehicle_cty"/>
    <tableColumn id="14" xr3:uid="{00000000-0010-0000-0700-00000E000000}" name="share_hwy_up"/>
    <tableColumn id="15" xr3:uid="{00000000-0010-0000-0700-00000F000000}" name="share_cty_up"/>
    <tableColumn id="16" xr3:uid="{00000000-0010-0000-0700-000010000000}" name="olife"/>
    <tableColumn id="17" xr3:uid="{00000000-0010-0000-0700-000011000000}" name="region"/>
    <tableColumn id="18" xr3:uid="{00000000-0010-0000-0700-000012000000}" name="invcost_2025"/>
    <tableColumn id="19" xr3:uid="{00000000-0010-0000-0700-000013000000}" name="invcost_2030"/>
    <tableColumn id="20" xr3:uid="{00000000-0010-0000-0700-000014000000}" name="invcost_2035"/>
    <tableColumn id="21" xr3:uid="{00000000-0010-0000-0700-000015000000}" name="invcost_2040"/>
    <tableColumn id="22" xr3:uid="{00000000-0010-0000-0700-000016000000}" name="invcost_2045"/>
    <tableColumn id="23" xr3:uid="{00000000-0010-0000-0700-000017000000}" name="invcost_2050"/>
    <tableColumn id="24" xr3:uid="{00000000-0010-0000-0700-000018000000}" name="fixom_2025"/>
    <tableColumn id="25" xr3:uid="{00000000-0010-0000-0700-000019000000}" name="fixom_2030"/>
    <tableColumn id="26" xr3:uid="{00000000-0010-0000-0700-00001A000000}" name="fixom_2035"/>
    <tableColumn id="27" xr3:uid="{00000000-0010-0000-0700-00001B000000}" name="fixom_2040"/>
    <tableColumn id="28" xr3:uid="{00000000-0010-0000-0700-00001C000000}" name="fixom_2045"/>
    <tableColumn id="29" xr3:uid="{00000000-0010-0000-0700-00001D000000}" name="fixom_2050"/>
    <tableColumn id="30" xr3:uid="{00000000-0010-0000-0700-00001E000000}" name="branch"/>
    <tableColumn id="31" xr3:uid="{00000000-0010-0000-0700-00001F000000}" name="service_hwy"/>
    <tableColumn id="32" xr3:uid="{00000000-0010-0000-0700-000020000000}" name="service_cty"/>
    <tableColumn id="33" xr3:uid="{00000000-0010-0000-0700-000021000000}" name="load_uni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11" displayName="Table11" ref="A1:Q45" totalsRowShown="0">
  <autoFilter ref="A1:Q45" xr:uid="{00000000-0009-0000-0100-00000B000000}"/>
  <tableColumns count="17">
    <tableColumn id="1" xr3:uid="{00000000-0010-0000-0800-000001000000}" name="new"/>
    <tableColumn id="2" xr3:uid="{00000000-0010-0000-0800-000002000000}" name="region"/>
    <tableColumn id="3" xr3:uid="{00000000-0010-0000-0800-000003000000}" name="stock_2024"/>
    <tableColumn id="4" xr3:uid="{00000000-0010-0000-0800-000004000000}" name="stock_2025"/>
    <tableColumn id="5" xr3:uid="{00000000-0010-0000-0800-000005000000}" name="stock_2030"/>
    <tableColumn id="6" xr3:uid="{00000000-0010-0000-0800-000006000000}" name="stock_2035"/>
    <tableColumn id="7" xr3:uid="{00000000-0010-0000-0800-000007000000}" name="stock_2040"/>
    <tableColumn id="8" xr3:uid="{00000000-0010-0000-0800-000008000000}" name="stock_2045"/>
    <tableColumn id="9" xr3:uid="{00000000-0010-0000-0800-000009000000}" name="stock_2050"/>
    <tableColumn id="10" xr3:uid="{00000000-0010-0000-0800-00000A000000}" name="cap.lo"/>
    <tableColumn id="11" xr3:uid="{00000000-0010-0000-0800-00000B000000}" name="cap.up"/>
    <tableColumn id="12" xr3:uid="{00000000-0010-0000-0800-00000C000000}" name="cap.fx"/>
    <tableColumn id="13" xr3:uid="{00000000-0010-0000-0800-00000D000000}" name="ncap.lo"/>
    <tableColumn id="14" xr3:uid="{00000000-0010-0000-0800-00000E000000}" name="ncap.up"/>
    <tableColumn id="15" xr3:uid="{00000000-0010-0000-0800-00000F000000}" name="ncap.fx"/>
    <tableColumn id="16" xr3:uid="{00000000-0010-0000-0800-000010000000}" name="notes"/>
    <tableColumn id="17" xr3:uid="{00000000-0010-0000-0800-000011000000}" name="branch"/>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2" displayName="Table12" ref="A1:M5" totalsRowShown="0">
  <autoFilter ref="A1:M5" xr:uid="{00000000-0009-0000-0100-00000C000000}"/>
  <tableColumns count="13">
    <tableColumn id="1" xr3:uid="{00000000-0010-0000-0900-000001000000}" name="name"/>
    <tableColumn id="2" xr3:uid="{00000000-0010-0000-0900-000002000000}" name="desc"/>
    <tableColumn id="3" xr3:uid="{00000000-0010-0000-0900-000003000000}" name="type"/>
    <tableColumn id="4" xr3:uid="{00000000-0010-0000-0900-000004000000}" name="tech"/>
    <tableColumn id="5" xr3:uid="{00000000-0010-0000-0900-000005000000}" name="commodity"/>
    <tableColumn id="6" xr3:uid="{00000000-0010-0000-0900-000006000000}" name="region"/>
    <tableColumn id="7" xr3:uid="{00000000-0010-0000-0900-000007000000}" name="y2025"/>
    <tableColumn id="8" xr3:uid="{00000000-0010-0000-0900-000008000000}" name="y2030"/>
    <tableColumn id="9" xr3:uid="{00000000-0010-0000-0900-000009000000}" name="y2035"/>
    <tableColumn id="10" xr3:uid="{00000000-0010-0000-0900-00000A000000}" name="y2040"/>
    <tableColumn id="11" xr3:uid="{00000000-0010-0000-0900-00000B000000}" name="y2045"/>
    <tableColumn id="12" xr3:uid="{00000000-0010-0000-0900-00000C000000}" name="y2050"/>
    <tableColumn id="13" xr3:uid="{00000000-0010-0000-0900-00000D000000}" name="notes"/>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2" dT="2026-05-26T06:22:27.57" personId="{C28D6EE3-005E-4699-8FCF-11B6538F1490}" id="{E8DC20E8-3D1D-4EB8-B058-1C34CF14AC8C}">
    <text>For LDV, please consider 25% hwy, 75% city</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5-26T06:21:43.87" personId="{C28D6EE3-005E-4699-8FCF-11B6538F1490}" id="{203ADD1F-102E-44D7-92A4-01FB6249D3B7}">
    <text xml:space="preserve">Please refer accompanying sheet called supply_cals for the values. </text>
  </threadedComment>
  <threadedComment ref="M2" dT="2026-05-25T13:33:10.60" personId="{D6554873-53F8-4986-8D4E-054B6C99AF72}" id="{09ACFD28-5AEA-4CF1-91DD-A647A19A05D8}">
    <text xml:space="preserve">Please refer to accompanying sheet called supply_cals in which column E has fuel prices in terms of Rs/ BTU. The price is in terms of 2025 Rs. </text>
  </threadedComment>
</ThreadedComments>
</file>

<file path=xl/threadedComments/threadedComment3.xml><?xml version="1.0" encoding="utf-8"?>
<ThreadedComments xmlns="http://schemas.microsoft.com/office/spreadsheetml/2018/threadedcomments" xmlns:x="http://schemas.openxmlformats.org/spreadsheetml/2006/main">
  <threadedComment ref="G1" dT="2026-05-27T23:58:55.60" personId="{C97DC623-9A5B-4A05-B7CB-0FBBBD9AF8ED}" id="{9E192085-1743-4FBC-8A4D-94832F0B2075}">
    <text>convert("INR/kJ", "cr.INR/PJ") = 1e5</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5-26T05:23:11.96" personId="{C28D6EE3-005E-4699-8FCF-11B6538F1490}" id="{49581289-9949-4A07-A4C7-C720AFBD9549}">
    <text xml:space="preserve">Overall comment for fleet technologies wrt to LPG/ CNG: 
1. LPG- only used for 3W in India- this is currently under freight motorbikes
</text>
  </threadedComment>
  <threadedComment ref="A1" dT="2026-05-26T05:23:27.73" personId="{C28D6EE3-005E-4699-8FCF-11B6538F1490}" id="{430AD8B5-DF4A-4CBC-9AF6-0917F339A2B2}" parentId="{49581289-9949-4A07-A4C7-C720AFBD9549}">
    <text xml:space="preserve">2. CNG- used in HDV passenger (buses), LDV passenger (cars), LDV (freight) and freight motorbikes (3W) </text>
  </threadedComment>
  <threadedComment ref="A1" dT="2026-05-26T05:23:35.06" personId="{C28D6EE3-005E-4699-8FCF-11B6538F1490}" id="{78FC049D-BADF-45AB-AA86-C38AF774D466}" parentId="{49581289-9949-4A07-A4C7-C720AFBD9549}">
    <text>Source: VAHAN dashboard</text>
  </threadedComment>
  <threadedComment ref="A1" dT="2026-05-26T10:09:42.84" personId="{D6554873-53F8-4986-8D4E-054B6C99AF72}" id="{64C177EE-21AC-4956-8A3A-65B6439CAE28}" parentId="{49581289-9949-4A07-A4C7-C720AFBD9549}">
    <text xml:space="preserve">Please refer to the sheet called fleet_new cell A25 for details on how much each fuel type makes for the existing vehicle fleet. </text>
  </threadedComment>
  <threadedComment ref="G1" dT="2026-05-26T06:23:27.24" personId="{C28D6EE3-005E-4699-8FCF-11B6538F1490}" id="{36E484B0-03AA-4AB6-B9DE-A5477CC71528}">
    <text>Values are diff compared to EPS</text>
  </threadedComment>
  <threadedComment ref="G1" dT="2026-05-27T09:40:44.02" personId="{D6554873-53F8-4986-8D4E-054B6C99AF72}" id="{9AB83369-7AA1-4B17-B9DD-EE2F8073F644}" parentId="{36E484B0-03AA-4AB6-B9DE-A5477CC71528}">
    <text>cost-of-ownership-for-different-vehicle-segments-fuels-and-powertrains.pdf</text>
    <extLst>
      <x:ext xmlns:xltc2="http://schemas.microsoft.com/office/spreadsheetml/2020/threadedcomments2" uri="{F7C98A9C-CBB3-438F-8F68-D28B6AF4A901}">
        <xltc2:checksum>3230529829</xltc2:checksum>
        <xltc2:hyperlink startIndex="0" length="74" url="https://www.ceew.in/sites/default/files/cost-of-ownership-for-different-vehicle-segments-fuels-and-powertrains.pdf"/>
      </x:ext>
    </extLst>
  </threadedComment>
  <threadedComment ref="G1" dT="2026-05-27T09:41:28.43" personId="{D6554873-53F8-4986-8D4E-054B6C99AF72}" id="{1491A90A-4BFD-4F3C-8139-4FB0FAE71518}" parentId="{36E484B0-03AA-4AB6-B9DE-A5477CC71528}">
    <text>Fuel economy values can be sourced from Table 2 of the report above</text>
  </threadedComment>
  <threadedComment ref="G1" dT="2026-05-27T09:46:57.85" personId="{D6554873-53F8-4986-8D4E-054B6C99AF72}" id="{4DE4C15E-046E-44B5-B209-D6969DFEE27A}" parentId="{36E484B0-03AA-4AB6-B9DE-A5477CC71528}">
    <text>Best Mileage Cars in India 2026 – Real Mileage, Running Cost &amp; Fuel Savings</text>
    <extLst>
      <x:ext xmlns:xltc2="http://schemas.microsoft.com/office/spreadsheetml/2020/threadedcomments2" uri="{F7C98A9C-CBB3-438F-8F68-D28B6AF4A901}">
        <xltc2:checksum>1283553958</xltc2:checksum>
        <xltc2:hyperlink startIndex="0" length="75" url="https://www.garwarehitechfilms.com/paint-protection-films/blog/best-mileage-cars-in-india"/>
      </x:ext>
    </extLst>
  </threadedComment>
  <threadedComment ref="G1" dT="2026-05-27T09:47:41.28" personId="{D6554873-53F8-4986-8D4E-054B6C99AF72}" id="{C8B2D5FB-32EE-48C3-BACE-F3BCCB6D06A6}" parentId="{36E484B0-03AA-4AB6-B9DE-A5477CC71528}">
    <text xml:space="preserve">Generally, highway mileage is 35-50% better than city mileage. </text>
  </threadedComment>
  <threadedComment ref="A2" dT="2026-05-26T05:22:47.74" personId="{C28D6EE3-005E-4699-8FCF-11B6538F1490}" id="{5D15250B-764F-43DF-A761-2E13C594A30B}">
    <text xml:space="preserve">All gasoline cars can be considered to be E20 compliant as all petrol sold in the country is 20% blended petrol (blending by volume). 
</text>
  </threadedComment>
  <threadedComment ref="J2" dT="2026-05-26T10:16:39.41" personId="{D6554873-53F8-4986-8D4E-054B6C99AF72}" id="{4D6C25D6-ECD0-4DAB-8F0C-FCDC5C5BAB76}">
    <text>Modifying the data based on newer reports</text>
  </threadedComment>
  <threadedComment ref="J2" dT="2026-05-26T10:16:57.26" personId="{D6554873-53F8-4986-8D4E-054B6C99AF72}" id="{10B4A500-5C3B-4956-A052-B4703BB05775}" parentId="{4D6C25D6-ECD0-4DAB-8F0C-FCDC5C5BAB76}">
    <text>Life-cycle assessment of passenger transport (EN)</text>
    <extLst>
      <x:ext xmlns:xltc2="http://schemas.microsoft.com/office/spreadsheetml/2020/threadedcomments2" uri="{F7C98A9C-CBB3-438F-8F68-D28B6AF4A901}">
        <xltc2:checksum>954095474</xltc2:checksum>
        <xltc2:hyperlink startIndex="0" length="49" url="https://www.oecd.org/content/dam/oecd/en/publications/reports/2023/08/life-cycle-assessment-of-passenger-transport_9e2ebe5e/2d11e416-en.pdf"/>
      </x:ext>
    </extLst>
  </threadedComment>
  <threadedComment ref="L2" dT="2026-05-26T06:23:52.77" personId="{C28D6EE3-005E-4699-8FCF-11B6538F1490}" id="{2C70D2C9-7229-466B-80A1-7D47585B88CF}">
    <text>Value diff compared to EPS</text>
  </threadedComment>
  <threadedComment ref="A4" dT="2026-05-26T05:24:04.33" personId="{C28D6EE3-005E-4699-8FCF-11B6538F1490}" id="{0F5202EE-69FD-4DFD-8BD8-4E89F8E45790}">
    <text>There is no E10. Can be removed.</text>
  </threadedComment>
  <threadedComment ref="A7" dT="2026-05-26T05:24:34.25" personId="{C28D6EE3-005E-4699-8FCF-11B6538F1490}" id="{42723194-42FD-4FA7-9FB0-F378F8978949}">
    <text xml:space="preserve">It would also be good to have LDV_B5 in line with govt. biodiesel blending target. </text>
  </threadedComment>
  <threadedComment ref="A9" dT="2026-05-26T05:25:02.46" personId="{C28D6EE3-005E-4699-8FCF-11B6538F1490}" id="{DF604050-3A9D-4261-8D75-E55388258CA4}">
    <text xml:space="preserve">LPG was previously popular in LDV segment but now shift is towards CNG. Less than 1% of fleet would be CNG. Can be removed.  </text>
  </threadedComment>
  <threadedComment ref="A14" dT="2026-05-26T05:31:18.67" personId="{C28D6EE3-005E-4699-8FCF-11B6538F1490}" id="{F8A9EDDF-3FFB-41CE-A37C-6E96577C7CAD}">
    <text>LDVF to be split between LDVF_3W, LDVF_4W</text>
  </threadedComment>
  <threadedComment ref="A14" dT="2026-05-26T06:04:32.01" personId="{C28D6EE3-005E-4699-8FCF-11B6538F1490}" id="{76E1C2AD-8E13-4437-9CF3-EABAFDAC09E3}" parentId="{F8A9EDDF-3FFB-41CE-A37C-6E96577C7CAD}">
    <text>Technologies for LDVF_3W: CNG, diesel, electric</text>
  </threadedComment>
  <threadedComment ref="A14" dT="2026-05-26T06:04:48.71" personId="{C28D6EE3-005E-4699-8FCF-11B6538F1490}" id="{7288B20C-5791-4F90-A9F5-B77BEA70EFB7}" parentId="{F8A9EDDF-3FFB-41CE-A37C-6E96577C7CAD}">
    <text>Technologies for LDVF_4W: CNG, diesel, electric, petrol</text>
  </threadedComment>
  <threadedComment ref="J14" dT="2026-05-27T09:39:21.66" personId="{D6554873-53F8-4986-8D4E-054B6C99AF72}" id="{20766554-0679-49C2-96E5-D8B20BEE6091}">
    <text>cost-of-ownership-for-different-vehicle-segments-fuels-and-powertrains.pdf</text>
    <extLst>
      <x:ext xmlns:xltc2="http://schemas.microsoft.com/office/spreadsheetml/2020/threadedcomments2" uri="{F7C98A9C-CBB3-438F-8F68-D28B6AF4A901}">
        <xltc2:checksum>3230529829</xltc2:checksum>
        <xltc2:hyperlink startIndex="0" length="74" url="https://www.ceew.in/sites/default/files/cost-of-ownership-for-different-vehicle-segments-fuels-and-powertrains.pdf"/>
      </x:ext>
    </extLst>
  </threadedComment>
  <threadedComment ref="A17" dT="2026-05-26T06:10:21.67" personId="{C28D6EE3-005E-4699-8FCF-11B6538F1490}" id="{B4EC637F-E4F4-413D-841D-F8919657BFD3}">
    <text>HDV to be split into HPV (Heavy Passenger Vehicle), MPV(Medium Passenger Vehicle)</text>
  </threadedComment>
  <threadedComment ref="A17" dT="2026-05-26T06:10:49.55" personId="{C28D6EE3-005E-4699-8FCF-11B6538F1490}" id="{E90DC215-86C3-4C16-9C4E-3AB754284452}" parentId="{B4EC637F-E4F4-413D-841D-F8919657BFD3}">
    <text>The technologies will remain the same for both- BEV, CNG, DSL</text>
  </threadedComment>
  <threadedComment ref="J17" dT="2026-05-26T10:18:47.04" personId="{D6554873-53F8-4986-8D4E-054B6C99AF72}" id="{6C6D5431-4DA3-4A38-8243-DFCB9B2DD405}">
    <text xml:space="preserve">based on OECD report
</text>
  </threadedComment>
  <threadedComment ref="A20" dT="2026-05-26T06:12:39.16" personId="{C28D6EE3-005E-4699-8FCF-11B6538F1490}" id="{79A14496-F692-40E6-BA9B-21E88FCE6AE0}">
    <text>Same as above- to be split into HGV (Heavy Goods Vehicle), MGV (Medium Goods Vehicle)</text>
  </threadedComment>
  <threadedComment ref="J22" dT="2026-05-27T09:39:56.53" personId="{D6554873-53F8-4986-8D4E-054B6C99AF72}" id="{51905C50-3DBB-48FC-AC36-2BB9B348F614}">
    <text>50000 for MGV and 80000 for HGV</text>
  </threadedComment>
  <threadedComment ref="J22" dT="2026-05-27T09:40:11.99" personId="{D6554873-53F8-4986-8D4E-054B6C99AF72}" id="{E4842441-B489-4DD3-9983-819803254F9D}" parentId="{51905C50-3DBB-48FC-AC36-2BB9B348F614}">
    <text>cost-of-ownership-for-different-vehicle-segments-fuels-and-powertrains.pdf</text>
    <extLst>
      <x:ext xmlns:xltc2="http://schemas.microsoft.com/office/spreadsheetml/2020/threadedcomments2" uri="{F7C98A9C-CBB3-438F-8F68-D28B6AF4A901}">
        <xltc2:checksum>3230529829</xltc2:checksum>
        <xltc2:hyperlink startIndex="0" length="74" url="https://www.ceew.in/sites/default/files/cost-of-ownership-for-different-vehicle-segments-fuels-and-powertrains.pdf"/>
      </x:ext>
    </extLst>
  </threadedComment>
  <threadedComment ref="A35" dT="2026-05-26T06:15:01.02" personId="{C28D6EE3-005E-4699-8FCF-11B6538F1490}" id="{8BF02B17-FBDB-4EF2-B449-4E037CEE8B97}">
    <text xml:space="preserve">Taxis were labelled as passenger ships in IESS. We can entirely remove this category and cover taxis with LDVs and have only one category for ships. </text>
  </threadedComment>
  <threadedComment ref="J39" dT="2026-05-26T10:20:03.91" personId="{D6554873-53F8-4986-8D4E-054B6C99AF72}" id="{0199F173-9B22-4180-99EB-3F5CEF73AFB3}">
    <text>Based on OECD report</text>
  </threadedComment>
  <threadedComment ref="A41" dT="2026-05-26T06:15:33.65" personId="{C28D6EE3-005E-4699-8FCF-11B6538F1490}" id="{632AA44C-CE61-49B1-BBAC-5F3F4271CD6B}">
    <text xml:space="preserve">Motobikes (2W) in India don’t use CNG. Can be removed. </text>
  </threadedComment>
  <threadedComment ref="A42" dT="2026-05-26T06:16:49.21" personId="{C28D6EE3-005E-4699-8FCF-11B6538F1490}" id="{CAF120FC-22F4-4BD8-A2D7-C6378886FDB6}">
    <text xml:space="preserve">We can label this category as 3W_P (Three wheeler Passenger) for clarity of understanding. </text>
  </threadedComment>
  <threadedComment ref="A42" dT="2026-05-26T06:16:58.61" personId="{C28D6EE3-005E-4699-8FCF-11B6538F1490}" id="{DC37371D-939D-4D94-A9E9-E9B7DB01B51F}" parentId="{CAF120FC-22F4-4BD8-A2D7-C6378886FDB6}">
    <text xml:space="preserve">LPG needs to be added here. </text>
  </threadedComment>
  <threadedComment ref="J42" dT="2026-05-26T10:20:36.11" personId="{D6554873-53F8-4986-8D4E-054B6C99AF72}" id="{858F4A2C-47F1-40AC-8CFC-527E5DF354D4}">
    <text>Based on ITF OECD report</text>
  </threadedComment>
  <threadedComment ref="A45" dT="2026-05-26T06:18:21.29" personId="{C28D6EE3-005E-4699-8FCF-11B6538F1490}" id="{C10644E6-8FAD-460F-A800-F9CFE795B545}">
    <text xml:space="preserve">A new type of vehicle called E_RICK can be added here. The fuel type for this is electric. This is different from the other three wheelers due to its use, avg dist travelled, fuel economy and rate of adoption levels. </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6-05-26T05:23:11.96" personId="{C28D6EE3-005E-4699-8FCF-11B6538F1490}" id="{4A74CC20-86AF-40CA-9663-30560CA46560}">
    <text xml:space="preserve">Overall comment for fleet technologies wrt to LPG/ CNG: 
1. LPG- only used for 3W in India- this is currently under freight motorbikes
</text>
  </threadedComment>
  <threadedComment ref="A1" dT="2026-05-26T05:23:27.73" personId="{C28D6EE3-005E-4699-8FCF-11B6538F1490}" id="{F52B719B-A626-48D4-8267-31A0F8BED436}" parentId="{4A74CC20-86AF-40CA-9663-30560CA46560}">
    <text xml:space="preserve">2. CNG- used in HDV passenger (buses), LDV passenger (cars), LDV (freight) and freight motorbikes (3W) </text>
  </threadedComment>
  <threadedComment ref="A1" dT="2026-05-26T05:23:35.06" personId="{C28D6EE3-005E-4699-8FCF-11B6538F1490}" id="{A2CCFC02-3D99-4C40-90B7-DF4A49149E7F}" parentId="{4A74CC20-86AF-40CA-9663-30560CA46560}">
    <text>Source: VAHAN dashboard</text>
  </threadedComment>
  <threadedComment ref="A1" dT="2026-05-26T10:09:42.84" personId="{D6554873-53F8-4986-8D4E-054B6C99AF72}" id="{5A3C9734-9029-4896-8CB0-6D53F01A80BC}" parentId="{4A74CC20-86AF-40CA-9663-30560CA46560}">
    <text xml:space="preserve">Please refer to the sheet called fleet_new cell A25 for details on how much each fuel type makes for the existing vehicle fleet. </text>
  </threadedComment>
  <threadedComment ref="A2" dT="2026-05-26T05:22:47.74" personId="{C28D6EE3-005E-4699-8FCF-11B6538F1490}" id="{47A27E98-38DB-42F7-A84F-515656BD87D6}">
    <text xml:space="preserve">All gasoline cars can be considered to be E20 compliant as all petrol sold in the country is 20% blended petrol (blending by volume). 
</text>
  </threadedComment>
  <threadedComment ref="A4" dT="2026-05-26T05:24:04.33" personId="{C28D6EE3-005E-4699-8FCF-11B6538F1490}" id="{33C7DDAE-874F-41B3-9465-0A2A7FB55646}">
    <text>There is no E10. Can be removed.</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6-05-26T10:03:12.51" personId="{D6554873-53F8-4986-8D4E-054B6C99AF72}" id="{9AE00ABC-03B9-47A2-8536-80D4B58C3BFF}">
    <text xml:space="preserve">For updated data on vehicle fleet please refer to accompanying sheet called fleet_new. The fleet data is estimated for 2025. </text>
  </threadedComment>
  <threadedComment ref="A10" dT="2026-05-25T13:41:54.37" personId="{D6554873-53F8-4986-8D4E-054B6C99AF72}" id="{8B8A3873-692E-487A-965E-997728E8F2E6}">
    <text>data to be added for strong hybrids</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bharatpetroleum.in/cng-prices" TargetMode="External"/><Relationship Id="rId7" Type="http://schemas.openxmlformats.org/officeDocument/2006/relationships/hyperlink" Target="https://energy.economictimes.indiatimes.com/news/renewable/indias-ambition-to-achieve-green-hydrogen-at-2/kg-is-not-a-distant-dream-anymore-amitabh-kant/129085257" TargetMode="External"/><Relationship Id="rId2" Type="http://schemas.openxmlformats.org/officeDocument/2006/relationships/hyperlink" Target="https://cleartax.in/s/diesel-price-india-history" TargetMode="External"/><Relationship Id="rId1" Type="http://schemas.openxmlformats.org/officeDocument/2006/relationships/hyperlink" Target="https://cleartax.in/s/petrol-price-india-history" TargetMode="External"/><Relationship Id="rId6" Type="http://schemas.openxmlformats.org/officeDocument/2006/relationships/hyperlink" Target="https://csep.org/wp-content/uploads/2025/03/The-Fiscal-Impact-of-Indias-EV-Transition-Tax-Revenue-Losses-Go-Beyond-Fuel-2.pdf" TargetMode="External"/><Relationship Id="rId5" Type="http://schemas.openxmlformats.org/officeDocument/2006/relationships/hyperlink" Target="https://www.ceew.in/sites/default/files/ceew-2-tco-annexure-28may25.pdf" TargetMode="External"/><Relationship Id="rId10" Type="http://schemas.microsoft.com/office/2017/10/relationships/threadedComment" Target="../threadedComments/threadedComment3.xml"/><Relationship Id="rId4" Type="http://schemas.openxmlformats.org/officeDocument/2006/relationships/hyperlink" Target="https://www.iac.org.in/alds-stations"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6.vml"/><Relationship Id="rId1" Type="http://schemas.openxmlformats.org/officeDocument/2006/relationships/printerSettings" Target="../printerSettings/printerSettings9.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B17" sqref="B17"/>
    </sheetView>
  </sheetViews>
  <sheetFormatPr defaultColWidth="10.73046875" defaultRowHeight="14.25" x14ac:dyDescent="0.45"/>
  <cols>
    <col min="1" max="1" width="15.73046875" customWidth="1"/>
    <col min="2" max="2" width="29.73046875" customWidth="1"/>
    <col min="3" max="3" width="78.73046875" customWidth="1"/>
  </cols>
  <sheetData>
    <row r="1" spans="1:3" x14ac:dyDescent="0.45">
      <c r="A1" s="1" t="s">
        <v>0</v>
      </c>
      <c r="B1" s="1" t="s">
        <v>1</v>
      </c>
      <c r="C1" s="1" t="s">
        <v>2</v>
      </c>
    </row>
    <row r="2" spans="1:3" x14ac:dyDescent="0.45">
      <c r="A2" t="s">
        <v>3</v>
      </c>
      <c r="B2" t="s">
        <v>4</v>
      </c>
      <c r="C2" t="s">
        <v>5</v>
      </c>
    </row>
    <row r="3" spans="1:3" x14ac:dyDescent="0.45">
      <c r="A3" t="s">
        <v>6</v>
      </c>
      <c r="B3" t="s">
        <v>7</v>
      </c>
      <c r="C3" t="s">
        <v>8</v>
      </c>
    </row>
    <row r="4" spans="1:3" x14ac:dyDescent="0.45">
      <c r="A4" t="s">
        <v>9</v>
      </c>
      <c r="B4" t="s">
        <v>10</v>
      </c>
      <c r="C4" t="s">
        <v>11</v>
      </c>
    </row>
    <row r="5" spans="1:3" x14ac:dyDescent="0.45">
      <c r="A5" t="s">
        <v>12</v>
      </c>
      <c r="B5" t="s">
        <v>13</v>
      </c>
      <c r="C5" t="s">
        <v>14</v>
      </c>
    </row>
    <row r="6" spans="1:3" x14ac:dyDescent="0.45">
      <c r="A6" t="s">
        <v>15</v>
      </c>
      <c r="B6">
        <v>83.5</v>
      </c>
      <c r="C6" t="s">
        <v>16</v>
      </c>
    </row>
    <row r="7" spans="1:3" x14ac:dyDescent="0.45">
      <c r="A7" t="s">
        <v>17</v>
      </c>
      <c r="B7">
        <f>B6/10</f>
        <v>8.35</v>
      </c>
      <c r="C7" t="s">
        <v>18</v>
      </c>
    </row>
    <row r="8" spans="1:3" x14ac:dyDescent="0.45">
      <c r="A8" t="s">
        <v>19</v>
      </c>
      <c r="B8" t="s">
        <v>20</v>
      </c>
      <c r="C8" t="s">
        <v>21</v>
      </c>
    </row>
    <row r="9" spans="1:3" x14ac:dyDescent="0.45">
      <c r="A9" t="s">
        <v>22</v>
      </c>
      <c r="B9" t="s">
        <v>23</v>
      </c>
      <c r="C9" t="s">
        <v>24</v>
      </c>
    </row>
    <row r="10" spans="1:3" x14ac:dyDescent="0.45">
      <c r="A10" t="s">
        <v>25</v>
      </c>
      <c r="B10" t="s">
        <v>26</v>
      </c>
      <c r="C10" t="s">
        <v>27</v>
      </c>
    </row>
    <row r="11" spans="1:3" x14ac:dyDescent="0.45">
      <c r="A11" t="s">
        <v>28</v>
      </c>
      <c r="B11" t="s">
        <v>29</v>
      </c>
      <c r="C11" t="s">
        <v>30</v>
      </c>
    </row>
    <row r="12" spans="1:3" x14ac:dyDescent="0.45">
      <c r="A12" t="s">
        <v>31</v>
      </c>
      <c r="B12" t="s">
        <v>32</v>
      </c>
      <c r="C12" t="s">
        <v>33</v>
      </c>
    </row>
    <row r="13" spans="1:3" x14ac:dyDescent="0.45">
      <c r="A13" t="s">
        <v>34</v>
      </c>
      <c r="B13" t="s">
        <v>35</v>
      </c>
      <c r="C13" t="s">
        <v>36</v>
      </c>
    </row>
  </sheetData>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9"/>
  <sheetViews>
    <sheetView workbookViewId="0">
      <selection activeCell="E9" sqref="E9"/>
    </sheetView>
  </sheetViews>
  <sheetFormatPr defaultColWidth="10.73046875" defaultRowHeight="14.25" x14ac:dyDescent="0.45"/>
  <cols>
    <col min="1" max="1" width="12.73046875" customWidth="1"/>
    <col min="2" max="2" width="65.73046875" customWidth="1"/>
    <col min="3" max="3" width="8.86328125" customWidth="1"/>
    <col min="4" max="4" width="9.73046875" customWidth="1"/>
    <col min="5" max="5" width="8.73046875" customWidth="1"/>
    <col min="6" max="6" width="7.73046875" customWidth="1"/>
    <col min="7" max="7" width="85.73046875" customWidth="1"/>
    <col min="8" max="8" width="15.73046875" customWidth="1"/>
    <col min="9" max="9" width="14.73046875" customWidth="1"/>
    <col min="10" max="10" width="11.73046875" customWidth="1"/>
  </cols>
  <sheetData>
    <row r="1" spans="1:10" x14ac:dyDescent="0.45">
      <c r="A1" s="2" t="s">
        <v>37</v>
      </c>
      <c r="B1" s="2" t="s">
        <v>38</v>
      </c>
      <c r="C1" s="2" t="s">
        <v>39</v>
      </c>
      <c r="D1" s="2" t="s">
        <v>40</v>
      </c>
      <c r="E1" s="2" t="s">
        <v>41</v>
      </c>
      <c r="F1" s="2" t="s">
        <v>42</v>
      </c>
      <c r="G1" s="2" t="s">
        <v>2</v>
      </c>
      <c r="H1" s="2" t="s">
        <v>43</v>
      </c>
      <c r="I1" s="2" t="s">
        <v>44</v>
      </c>
      <c r="J1" s="2" t="s">
        <v>19</v>
      </c>
    </row>
    <row r="2" spans="1:10" x14ac:dyDescent="0.45">
      <c r="A2" t="s">
        <v>45</v>
      </c>
      <c r="B2" t="s">
        <v>46</v>
      </c>
      <c r="C2" t="s">
        <v>20</v>
      </c>
      <c r="D2" t="s">
        <v>32</v>
      </c>
      <c r="E2">
        <v>69.3</v>
      </c>
      <c r="G2" t="s">
        <v>47</v>
      </c>
      <c r="H2" t="s">
        <v>48</v>
      </c>
      <c r="I2">
        <v>34.200000000000003</v>
      </c>
      <c r="J2" t="s">
        <v>49</v>
      </c>
    </row>
    <row r="3" spans="1:10" x14ac:dyDescent="0.45">
      <c r="A3" t="s">
        <v>50</v>
      </c>
      <c r="B3" t="s">
        <v>51</v>
      </c>
      <c r="C3" t="s">
        <v>20</v>
      </c>
      <c r="D3" t="s">
        <v>32</v>
      </c>
      <c r="E3">
        <v>74.099999999999994</v>
      </c>
      <c r="G3" t="s">
        <v>47</v>
      </c>
      <c r="H3" t="s">
        <v>48</v>
      </c>
      <c r="I3">
        <v>36.9</v>
      </c>
      <c r="J3" t="s">
        <v>49</v>
      </c>
    </row>
    <row r="4" spans="1:10" x14ac:dyDescent="0.45">
      <c r="A4" t="s">
        <v>52</v>
      </c>
      <c r="B4" t="s">
        <v>53</v>
      </c>
      <c r="C4" t="s">
        <v>20</v>
      </c>
      <c r="D4" t="s">
        <v>32</v>
      </c>
      <c r="E4">
        <v>0</v>
      </c>
      <c r="G4" t="s">
        <v>54</v>
      </c>
      <c r="H4" t="s">
        <v>48</v>
      </c>
      <c r="I4">
        <v>26.8</v>
      </c>
      <c r="J4" t="s">
        <v>49</v>
      </c>
    </row>
    <row r="5" spans="1:10" x14ac:dyDescent="0.45">
      <c r="A5" t="s">
        <v>55</v>
      </c>
      <c r="B5" t="s">
        <v>56</v>
      </c>
      <c r="C5" t="s">
        <v>20</v>
      </c>
      <c r="D5" t="s">
        <v>32</v>
      </c>
      <c r="E5">
        <v>0</v>
      </c>
      <c r="G5" t="s">
        <v>57</v>
      </c>
      <c r="H5" t="s">
        <v>48</v>
      </c>
    </row>
    <row r="6" spans="1:10" x14ac:dyDescent="0.45">
      <c r="A6" t="s">
        <v>58</v>
      </c>
      <c r="B6" t="s">
        <v>59</v>
      </c>
      <c r="C6" t="s">
        <v>20</v>
      </c>
      <c r="D6" t="s">
        <v>32</v>
      </c>
      <c r="E6">
        <v>56.1</v>
      </c>
      <c r="G6" t="s">
        <v>60</v>
      </c>
      <c r="H6" t="s">
        <v>48</v>
      </c>
      <c r="I6">
        <v>35.799999999999997</v>
      </c>
      <c r="J6" t="s">
        <v>61</v>
      </c>
    </row>
    <row r="7" spans="1:10" x14ac:dyDescent="0.45">
      <c r="A7" t="s">
        <v>62</v>
      </c>
      <c r="B7" t="s">
        <v>63</v>
      </c>
      <c r="C7" t="s">
        <v>20</v>
      </c>
      <c r="D7" t="s">
        <v>32</v>
      </c>
      <c r="E7">
        <v>63.1</v>
      </c>
      <c r="G7" t="s">
        <v>64</v>
      </c>
      <c r="H7" t="s">
        <v>48</v>
      </c>
      <c r="I7">
        <v>26</v>
      </c>
      <c r="J7" t="s">
        <v>49</v>
      </c>
    </row>
    <row r="8" spans="1:10" x14ac:dyDescent="0.45">
      <c r="A8" t="s">
        <v>65</v>
      </c>
      <c r="B8" t="s">
        <v>66</v>
      </c>
      <c r="C8" t="s">
        <v>20</v>
      </c>
      <c r="D8" t="s">
        <v>32</v>
      </c>
      <c r="E8">
        <v>0</v>
      </c>
      <c r="G8" t="s">
        <v>67</v>
      </c>
      <c r="H8" t="s">
        <v>48</v>
      </c>
      <c r="I8">
        <v>120</v>
      </c>
      <c r="J8" t="s">
        <v>68</v>
      </c>
    </row>
    <row r="9" spans="1:10" x14ac:dyDescent="0.45">
      <c r="A9" t="s">
        <v>69</v>
      </c>
      <c r="B9" t="s">
        <v>70</v>
      </c>
      <c r="C9" t="s">
        <v>20</v>
      </c>
      <c r="D9" t="s">
        <v>32</v>
      </c>
      <c r="E9">
        <v>62.37</v>
      </c>
      <c r="G9" t="s">
        <v>71</v>
      </c>
      <c r="H9" t="s">
        <v>48</v>
      </c>
      <c r="I9">
        <v>32.9</v>
      </c>
      <c r="J9" t="s">
        <v>49</v>
      </c>
    </row>
    <row r="10" spans="1:10" x14ac:dyDescent="0.45">
      <c r="A10" t="s">
        <v>72</v>
      </c>
      <c r="B10" t="s">
        <v>73</v>
      </c>
      <c r="C10" t="s">
        <v>74</v>
      </c>
      <c r="D10" t="s">
        <v>32</v>
      </c>
      <c r="G10" t="s">
        <v>75</v>
      </c>
      <c r="H10" t="s">
        <v>76</v>
      </c>
    </row>
    <row r="11" spans="1:10" x14ac:dyDescent="0.45">
      <c r="A11" t="s">
        <v>77</v>
      </c>
      <c r="B11" t="s">
        <v>78</v>
      </c>
      <c r="C11" t="s">
        <v>74</v>
      </c>
      <c r="D11" t="s">
        <v>32</v>
      </c>
      <c r="G11" t="s">
        <v>75</v>
      </c>
      <c r="H11" t="s">
        <v>76</v>
      </c>
    </row>
    <row r="12" spans="1:10" x14ac:dyDescent="0.45">
      <c r="A12" t="s">
        <v>79</v>
      </c>
      <c r="B12" t="s">
        <v>80</v>
      </c>
      <c r="C12" t="s">
        <v>81</v>
      </c>
      <c r="D12" t="s">
        <v>32</v>
      </c>
      <c r="G12" t="s">
        <v>82</v>
      </c>
      <c r="H12" t="s">
        <v>83</v>
      </c>
    </row>
    <row r="13" spans="1:10" x14ac:dyDescent="0.45">
      <c r="A13" t="s">
        <v>84</v>
      </c>
      <c r="B13" t="s">
        <v>85</v>
      </c>
      <c r="C13" t="s">
        <v>81</v>
      </c>
      <c r="D13" t="s">
        <v>32</v>
      </c>
      <c r="G13" t="s">
        <v>82</v>
      </c>
      <c r="H13" t="s">
        <v>83</v>
      </c>
    </row>
    <row r="14" spans="1:10" x14ac:dyDescent="0.45">
      <c r="A14" t="s">
        <v>86</v>
      </c>
      <c r="B14" t="s">
        <v>87</v>
      </c>
      <c r="C14" t="s">
        <v>20</v>
      </c>
      <c r="D14" t="s">
        <v>32</v>
      </c>
      <c r="G14" t="s">
        <v>88</v>
      </c>
      <c r="H14" t="s">
        <v>89</v>
      </c>
    </row>
    <row r="15" spans="1:10" x14ac:dyDescent="0.45">
      <c r="A15" t="s">
        <v>90</v>
      </c>
      <c r="B15" t="s">
        <v>91</v>
      </c>
      <c r="C15" t="s">
        <v>20</v>
      </c>
      <c r="D15" t="s">
        <v>32</v>
      </c>
      <c r="G15" t="s">
        <v>88</v>
      </c>
      <c r="H15" t="s">
        <v>89</v>
      </c>
    </row>
    <row r="16" spans="1:10" x14ac:dyDescent="0.45">
      <c r="A16" t="s">
        <v>92</v>
      </c>
      <c r="B16" t="s">
        <v>93</v>
      </c>
      <c r="C16" t="s">
        <v>20</v>
      </c>
      <c r="D16" t="s">
        <v>32</v>
      </c>
      <c r="G16" t="s">
        <v>88</v>
      </c>
      <c r="H16" t="s">
        <v>89</v>
      </c>
    </row>
    <row r="17" spans="1:8" x14ac:dyDescent="0.45">
      <c r="A17" t="s">
        <v>94</v>
      </c>
      <c r="B17" t="s">
        <v>95</v>
      </c>
      <c r="C17" t="s">
        <v>96</v>
      </c>
      <c r="D17" t="s">
        <v>32</v>
      </c>
      <c r="G17" t="s">
        <v>97</v>
      </c>
      <c r="H17" t="s">
        <v>89</v>
      </c>
    </row>
    <row r="18" spans="1:8" x14ac:dyDescent="0.45">
      <c r="A18" t="s">
        <v>98</v>
      </c>
      <c r="B18" t="s">
        <v>99</v>
      </c>
      <c r="C18" t="s">
        <v>74</v>
      </c>
      <c r="D18" t="s">
        <v>32</v>
      </c>
      <c r="G18" t="s">
        <v>100</v>
      </c>
      <c r="H18" t="s">
        <v>101</v>
      </c>
    </row>
    <row r="19" spans="1:8" x14ac:dyDescent="0.45">
      <c r="A19" t="s">
        <v>102</v>
      </c>
      <c r="B19" t="s">
        <v>103</v>
      </c>
      <c r="C19" t="s">
        <v>74</v>
      </c>
      <c r="D19" t="s">
        <v>32</v>
      </c>
      <c r="G19" t="s">
        <v>100</v>
      </c>
      <c r="H19" t="s">
        <v>101</v>
      </c>
    </row>
    <row r="20" spans="1:8" x14ac:dyDescent="0.45">
      <c r="A20" t="s">
        <v>104</v>
      </c>
      <c r="B20" t="s">
        <v>105</v>
      </c>
      <c r="C20" t="s">
        <v>81</v>
      </c>
      <c r="D20" t="s">
        <v>32</v>
      </c>
      <c r="G20" t="s">
        <v>106</v>
      </c>
      <c r="H20" t="s">
        <v>107</v>
      </c>
    </row>
    <row r="21" spans="1:8" x14ac:dyDescent="0.45">
      <c r="A21" t="s">
        <v>108</v>
      </c>
      <c r="B21" t="s">
        <v>109</v>
      </c>
      <c r="C21" t="s">
        <v>81</v>
      </c>
      <c r="D21" t="s">
        <v>32</v>
      </c>
      <c r="G21" t="s">
        <v>106</v>
      </c>
      <c r="H21" t="s">
        <v>107</v>
      </c>
    </row>
    <row r="22" spans="1:8" x14ac:dyDescent="0.45">
      <c r="A22" t="s">
        <v>110</v>
      </c>
      <c r="B22" t="s">
        <v>111</v>
      </c>
      <c r="C22" t="s">
        <v>74</v>
      </c>
      <c r="D22" t="s">
        <v>32</v>
      </c>
      <c r="G22" t="s">
        <v>112</v>
      </c>
      <c r="H22" t="s">
        <v>113</v>
      </c>
    </row>
    <row r="23" spans="1:8" x14ac:dyDescent="0.45">
      <c r="A23" t="s">
        <v>114</v>
      </c>
      <c r="B23" t="s">
        <v>115</v>
      </c>
      <c r="C23" t="s">
        <v>74</v>
      </c>
      <c r="D23" t="s">
        <v>32</v>
      </c>
      <c r="G23" t="s">
        <v>112</v>
      </c>
      <c r="H23" t="s">
        <v>113</v>
      </c>
    </row>
    <row r="24" spans="1:8" x14ac:dyDescent="0.45">
      <c r="A24" t="s">
        <v>116</v>
      </c>
      <c r="B24" t="s">
        <v>117</v>
      </c>
      <c r="C24" t="s">
        <v>81</v>
      </c>
      <c r="D24" t="s">
        <v>32</v>
      </c>
      <c r="G24" t="s">
        <v>118</v>
      </c>
      <c r="H24" t="s">
        <v>119</v>
      </c>
    </row>
    <row r="25" spans="1:8" x14ac:dyDescent="0.45">
      <c r="A25" t="s">
        <v>120</v>
      </c>
      <c r="B25" t="s">
        <v>121</v>
      </c>
      <c r="C25" t="s">
        <v>81</v>
      </c>
      <c r="D25" t="s">
        <v>32</v>
      </c>
      <c r="G25" t="s">
        <v>118</v>
      </c>
      <c r="H25" t="s">
        <v>119</v>
      </c>
    </row>
    <row r="26" spans="1:8" x14ac:dyDescent="0.45">
      <c r="A26" t="s">
        <v>122</v>
      </c>
      <c r="B26" t="s">
        <v>123</v>
      </c>
      <c r="C26" t="s">
        <v>74</v>
      </c>
      <c r="D26" t="s">
        <v>32</v>
      </c>
      <c r="G26" t="s">
        <v>124</v>
      </c>
      <c r="H26" t="s">
        <v>125</v>
      </c>
    </row>
    <row r="27" spans="1:8" x14ac:dyDescent="0.45">
      <c r="A27" t="s">
        <v>126</v>
      </c>
      <c r="B27" t="s">
        <v>127</v>
      </c>
      <c r="C27" t="s">
        <v>74</v>
      </c>
      <c r="D27" t="s">
        <v>32</v>
      </c>
      <c r="G27" t="s">
        <v>124</v>
      </c>
      <c r="H27" t="s">
        <v>125</v>
      </c>
    </row>
    <row r="28" spans="1:8" x14ac:dyDescent="0.45">
      <c r="A28" t="s">
        <v>128</v>
      </c>
      <c r="B28" t="s">
        <v>129</v>
      </c>
      <c r="C28" t="s">
        <v>81</v>
      </c>
      <c r="D28" t="s">
        <v>32</v>
      </c>
      <c r="G28" t="s">
        <v>130</v>
      </c>
      <c r="H28" t="s">
        <v>131</v>
      </c>
    </row>
    <row r="29" spans="1:8" x14ac:dyDescent="0.45">
      <c r="A29" t="s">
        <v>132</v>
      </c>
      <c r="B29" t="s">
        <v>133</v>
      </c>
      <c r="C29" t="s">
        <v>81</v>
      </c>
      <c r="D29" t="s">
        <v>32</v>
      </c>
      <c r="G29" t="s">
        <v>130</v>
      </c>
      <c r="H29" t="s">
        <v>131</v>
      </c>
    </row>
    <row r="30" spans="1:8" x14ac:dyDescent="0.45">
      <c r="A30" t="s">
        <v>134</v>
      </c>
      <c r="B30" t="s">
        <v>135</v>
      </c>
      <c r="C30" t="s">
        <v>74</v>
      </c>
      <c r="D30" t="s">
        <v>32</v>
      </c>
      <c r="G30" t="s">
        <v>136</v>
      </c>
      <c r="H30" t="s">
        <v>137</v>
      </c>
    </row>
    <row r="31" spans="1:8" x14ac:dyDescent="0.45">
      <c r="A31" t="s">
        <v>138</v>
      </c>
      <c r="B31" t="s">
        <v>139</v>
      </c>
      <c r="C31" t="s">
        <v>74</v>
      </c>
      <c r="D31" t="s">
        <v>32</v>
      </c>
      <c r="G31" t="s">
        <v>136</v>
      </c>
      <c r="H31" t="s">
        <v>137</v>
      </c>
    </row>
    <row r="32" spans="1:8" x14ac:dyDescent="0.45">
      <c r="A32" t="s">
        <v>140</v>
      </c>
      <c r="B32" t="s">
        <v>141</v>
      </c>
      <c r="C32" t="s">
        <v>81</v>
      </c>
      <c r="D32" t="s">
        <v>32</v>
      </c>
      <c r="G32" t="s">
        <v>142</v>
      </c>
      <c r="H32" t="s">
        <v>143</v>
      </c>
    </row>
    <row r="33" spans="1:8" x14ac:dyDescent="0.45">
      <c r="A33" t="s">
        <v>144</v>
      </c>
      <c r="B33" t="s">
        <v>145</v>
      </c>
      <c r="C33" t="s">
        <v>81</v>
      </c>
      <c r="D33" t="s">
        <v>32</v>
      </c>
      <c r="G33" t="s">
        <v>142</v>
      </c>
      <c r="H33" t="s">
        <v>143</v>
      </c>
    </row>
    <row r="34" spans="1:8" x14ac:dyDescent="0.45">
      <c r="A34" t="s">
        <v>146</v>
      </c>
      <c r="B34" t="s">
        <v>147</v>
      </c>
      <c r="C34" t="s">
        <v>74</v>
      </c>
      <c r="D34" t="s">
        <v>32</v>
      </c>
      <c r="G34" t="s">
        <v>148</v>
      </c>
      <c r="H34" t="s">
        <v>149</v>
      </c>
    </row>
    <row r="35" spans="1:8" x14ac:dyDescent="0.45">
      <c r="A35" t="s">
        <v>150</v>
      </c>
      <c r="B35" t="s">
        <v>151</v>
      </c>
      <c r="C35" t="s">
        <v>74</v>
      </c>
      <c r="D35" t="s">
        <v>32</v>
      </c>
      <c r="G35" t="s">
        <v>148</v>
      </c>
      <c r="H35" t="s">
        <v>149</v>
      </c>
    </row>
    <row r="36" spans="1:8" x14ac:dyDescent="0.45">
      <c r="A36" t="s">
        <v>152</v>
      </c>
      <c r="B36" t="s">
        <v>153</v>
      </c>
      <c r="C36" t="s">
        <v>81</v>
      </c>
      <c r="D36" t="s">
        <v>32</v>
      </c>
      <c r="G36" t="s">
        <v>154</v>
      </c>
      <c r="H36" t="s">
        <v>155</v>
      </c>
    </row>
    <row r="37" spans="1:8" x14ac:dyDescent="0.45">
      <c r="A37" t="s">
        <v>156</v>
      </c>
      <c r="B37" t="s">
        <v>157</v>
      </c>
      <c r="C37" t="s">
        <v>81</v>
      </c>
      <c r="D37" t="s">
        <v>32</v>
      </c>
      <c r="G37" t="s">
        <v>154</v>
      </c>
      <c r="H37" t="s">
        <v>155</v>
      </c>
    </row>
    <row r="38" spans="1:8" x14ac:dyDescent="0.45">
      <c r="A38" t="s">
        <v>158</v>
      </c>
      <c r="B38" t="s">
        <v>159</v>
      </c>
      <c r="C38" t="s">
        <v>160</v>
      </c>
      <c r="D38" t="s">
        <v>32</v>
      </c>
      <c r="G38" t="s">
        <v>161</v>
      </c>
      <c r="H38" t="s">
        <v>89</v>
      </c>
    </row>
    <row r="39" spans="1:8" x14ac:dyDescent="0.45">
      <c r="A39" t="s">
        <v>162</v>
      </c>
      <c r="B39" t="s">
        <v>163</v>
      </c>
      <c r="C39" t="s">
        <v>20</v>
      </c>
      <c r="D39" t="s">
        <v>32</v>
      </c>
      <c r="G39" t="s">
        <v>164</v>
      </c>
      <c r="H39" t="s">
        <v>89</v>
      </c>
    </row>
  </sheetData>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
  <sheetViews>
    <sheetView workbookViewId="0">
      <pane xSplit="1" ySplit="1" topLeftCell="B2" activePane="bottomRight" state="frozen"/>
      <selection pane="topRight" activeCell="B1" sqref="B1"/>
      <selection pane="bottomLeft" activeCell="A2" sqref="A2"/>
      <selection pane="bottomRight" activeCell="G7" sqref="G7"/>
    </sheetView>
  </sheetViews>
  <sheetFormatPr defaultColWidth="10.73046875" defaultRowHeight="14.25" x14ac:dyDescent="0.45"/>
  <cols>
    <col min="1" max="1" width="19.1328125" customWidth="1"/>
    <col min="2" max="2" width="32.73046875" customWidth="1"/>
    <col min="3" max="3" width="12.6640625" customWidth="1"/>
    <col min="4" max="4" width="8.59765625" customWidth="1"/>
    <col min="5" max="5" width="6.73046875" customWidth="1"/>
    <col min="6" max="9" width="12.265625" bestFit="1" customWidth="1"/>
    <col min="10" max="11" width="13.3984375" bestFit="1" customWidth="1"/>
    <col min="12" max="12" width="79.73046875" customWidth="1"/>
    <col min="13" max="13" width="15.73046875" customWidth="1"/>
  </cols>
  <sheetData>
    <row r="1" spans="1:13" x14ac:dyDescent="0.45">
      <c r="A1" s="2" t="s">
        <v>37</v>
      </c>
      <c r="B1" s="2" t="s">
        <v>38</v>
      </c>
      <c r="C1" s="2" t="s">
        <v>165</v>
      </c>
      <c r="D1" s="2" t="s">
        <v>39</v>
      </c>
      <c r="E1" s="2" t="s">
        <v>166</v>
      </c>
      <c r="F1" s="2" t="s">
        <v>167</v>
      </c>
      <c r="G1" s="2" t="s">
        <v>168</v>
      </c>
      <c r="H1" s="2" t="s">
        <v>169</v>
      </c>
      <c r="I1" s="2" t="s">
        <v>170</v>
      </c>
      <c r="J1" s="2" t="s">
        <v>171</v>
      </c>
      <c r="K1" s="2" t="s">
        <v>172</v>
      </c>
      <c r="L1" s="2" t="s">
        <v>2</v>
      </c>
      <c r="M1" s="2" t="s">
        <v>43</v>
      </c>
    </row>
    <row r="2" spans="1:13" x14ac:dyDescent="0.45">
      <c r="A2" t="s">
        <v>173</v>
      </c>
      <c r="B2" t="s">
        <v>174</v>
      </c>
      <c r="C2" t="s">
        <v>72</v>
      </c>
      <c r="D2" t="s">
        <v>74</v>
      </c>
      <c r="E2" t="s">
        <v>35</v>
      </c>
      <c r="F2" s="4">
        <v>158806</v>
      </c>
      <c r="G2" s="4">
        <f>F2*(1+demand_drivers!E2)^5</f>
        <v>190257.52792519174</v>
      </c>
      <c r="H2" s="4">
        <f>G2*(1+demand_drivers!F2)^5</f>
        <v>223683.13280813504</v>
      </c>
      <c r="I2" s="4">
        <f>H2*(1+demand_drivers!G2)^5</f>
        <v>270969.21972773789</v>
      </c>
      <c r="J2" s="4">
        <f>I2*(1+demand_drivers!H2)^5</f>
        <v>335099.76455078943</v>
      </c>
      <c r="K2" s="4">
        <f>J2*(1+demand_drivers!I2)^5</f>
        <v>427274.4903744717</v>
      </c>
      <c r="L2" t="s">
        <v>175</v>
      </c>
      <c r="M2" t="s">
        <v>76</v>
      </c>
    </row>
    <row r="3" spans="1:13" x14ac:dyDescent="0.45">
      <c r="A3" t="s">
        <v>176</v>
      </c>
      <c r="B3" t="s">
        <v>177</v>
      </c>
      <c r="C3" t="s">
        <v>77</v>
      </c>
      <c r="D3" t="s">
        <v>74</v>
      </c>
      <c r="E3" t="s">
        <v>35</v>
      </c>
      <c r="F3" s="4">
        <v>635224</v>
      </c>
      <c r="G3" s="4">
        <f>F3*(1+demand_drivers!E3)^5</f>
        <v>761030.11170076695</v>
      </c>
      <c r="H3" s="4">
        <f>G3*(1+demand_drivers!F3)^5</f>
        <v>894732.53123254015</v>
      </c>
      <c r="I3" s="4">
        <f>H3*(1+demand_drivers!G3)^5</f>
        <v>1083876.8789109515</v>
      </c>
      <c r="J3" s="4">
        <f>I3*(1+demand_drivers!H3)^5</f>
        <v>1340399.0582031577</v>
      </c>
      <c r="K3" s="4">
        <f>J3*(1+demand_drivers!I3)^5</f>
        <v>1709097.9614978868</v>
      </c>
      <c r="L3" t="s">
        <v>178</v>
      </c>
      <c r="M3" t="s">
        <v>76</v>
      </c>
    </row>
    <row r="4" spans="1:13" x14ac:dyDescent="0.45">
      <c r="A4" t="s">
        <v>179</v>
      </c>
      <c r="B4" t="s">
        <v>180</v>
      </c>
      <c r="C4" t="s">
        <v>79</v>
      </c>
      <c r="D4" t="s">
        <v>81</v>
      </c>
      <c r="E4" t="s">
        <v>35</v>
      </c>
      <c r="F4" s="4">
        <v>59511</v>
      </c>
      <c r="G4" s="4">
        <f>F4*(1+demand_drivers!E4)^5</f>
        <v>71848.986327770719</v>
      </c>
      <c r="H4" s="4">
        <f>G4*(1+demand_drivers!F4)^5</f>
        <v>85705.720585223375</v>
      </c>
      <c r="I4" s="4">
        <f>H4*(1+demand_drivers!G4)^5</f>
        <v>101791.51065466723</v>
      </c>
      <c r="J4" s="4">
        <f>I4*(1+demand_drivers!H4)^5</f>
        <v>120721.27262886304</v>
      </c>
      <c r="K4" s="4">
        <f>J4*(1+demand_drivers!I4)^5</f>
        <v>143171.32707239236</v>
      </c>
      <c r="L4" t="s">
        <v>181</v>
      </c>
      <c r="M4" t="s">
        <v>83</v>
      </c>
    </row>
    <row r="5" spans="1:13" x14ac:dyDescent="0.45">
      <c r="A5" t="s">
        <v>182</v>
      </c>
      <c r="B5" t="s">
        <v>183</v>
      </c>
      <c r="C5" t="s">
        <v>84</v>
      </c>
      <c r="D5" t="s">
        <v>81</v>
      </c>
      <c r="E5" t="s">
        <v>35</v>
      </c>
      <c r="F5" s="4">
        <v>89266</v>
      </c>
      <c r="G5" s="4">
        <f>F5*(1+demand_drivers!E5)^5</f>
        <v>107772.87583026299</v>
      </c>
      <c r="H5" s="4">
        <f>G5*(1+demand_drivers!F5)^5</f>
        <v>128557.86079482027</v>
      </c>
      <c r="I5" s="4">
        <f>H5*(1+demand_drivers!G5)^5</f>
        <v>152686.41074926525</v>
      </c>
      <c r="J5" s="4">
        <f>I5*(1+demand_drivers!H5)^5</f>
        <v>181080.89466633205</v>
      </c>
      <c r="K5" s="4">
        <f>J5*(1+demand_drivers!I5)^5</f>
        <v>214755.78771057748</v>
      </c>
      <c r="L5" t="s">
        <v>184</v>
      </c>
      <c r="M5" t="s">
        <v>83</v>
      </c>
    </row>
    <row r="6" spans="1:13" x14ac:dyDescent="0.45">
      <c r="A6" t="s">
        <v>185</v>
      </c>
      <c r="B6" t="s">
        <v>186</v>
      </c>
      <c r="C6" t="s">
        <v>98</v>
      </c>
      <c r="D6" t="s">
        <v>74</v>
      </c>
      <c r="E6" t="s">
        <v>35</v>
      </c>
      <c r="F6" s="4">
        <v>2103036</v>
      </c>
      <c r="G6" s="4">
        <f>F6*(1+demand_drivers!E6)^5</f>
        <v>2682788.1888022833</v>
      </c>
      <c r="H6" s="4">
        <f>G6*(1+demand_drivers!F6)^5</f>
        <v>3308198.0257666833</v>
      </c>
      <c r="I6" s="4">
        <f>H6*(1+demand_drivers!G6)^5</f>
        <v>3990217.9764992073</v>
      </c>
      <c r="J6" s="4">
        <f>I6*(1+demand_drivers!H6)^5</f>
        <v>4759768.0140936701</v>
      </c>
      <c r="K6" s="4">
        <f>J6*(1+demand_drivers!I6)^5</f>
        <v>5634020.3279292258</v>
      </c>
      <c r="L6" t="s">
        <v>187</v>
      </c>
      <c r="M6" t="s">
        <v>101</v>
      </c>
    </row>
    <row r="7" spans="1:13" x14ac:dyDescent="0.45">
      <c r="A7" t="s">
        <v>188</v>
      </c>
      <c r="B7" t="s">
        <v>189</v>
      </c>
      <c r="C7" t="s">
        <v>102</v>
      </c>
      <c r="D7" t="s">
        <v>74</v>
      </c>
      <c r="E7" t="s">
        <v>35</v>
      </c>
      <c r="F7" s="4">
        <v>4907084</v>
      </c>
      <c r="G7" s="4">
        <f>F7*(1+demand_drivers!E7)^5</f>
        <v>6259839.1072053276</v>
      </c>
      <c r="H7" s="4">
        <f>G7*(1+demand_drivers!F7)^5</f>
        <v>7719128.7267889278</v>
      </c>
      <c r="I7" s="4">
        <f>H7*(1+demand_drivers!G7)^5</f>
        <v>9310508.6118314844</v>
      </c>
      <c r="J7" s="4">
        <f>I7*(1+demand_drivers!H7)^5</f>
        <v>11106125.366218563</v>
      </c>
      <c r="K7" s="4">
        <f>J7*(1+demand_drivers!I7)^5</f>
        <v>13146047.431834858</v>
      </c>
      <c r="L7" t="s">
        <v>190</v>
      </c>
      <c r="M7" t="s">
        <v>101</v>
      </c>
    </row>
    <row r="8" spans="1:13" x14ac:dyDescent="0.45">
      <c r="A8" t="s">
        <v>191</v>
      </c>
      <c r="B8" t="s">
        <v>192</v>
      </c>
      <c r="C8" t="s">
        <v>104</v>
      </c>
      <c r="D8" t="s">
        <v>81</v>
      </c>
      <c r="E8" t="s">
        <v>35</v>
      </c>
      <c r="F8" s="4">
        <v>938961</v>
      </c>
      <c r="G8" s="4">
        <f>F8*(1+demand_drivers!E8)^5</f>
        <v>1288270.8772473894</v>
      </c>
      <c r="H8" s="4">
        <f>G8*(1+demand_drivers!F8)^5</f>
        <v>1741142.1670427069</v>
      </c>
      <c r="I8" s="4">
        <f>H8*(1+demand_drivers!G8)^5</f>
        <v>2295082.2619315311</v>
      </c>
      <c r="J8" s="4">
        <f>I8*(1+demand_drivers!H8)^5</f>
        <v>2962800.8017693874</v>
      </c>
      <c r="K8" s="4">
        <f>J8*(1+demand_drivers!I8)^5</f>
        <v>3759809.5521902926</v>
      </c>
      <c r="L8" t="s">
        <v>193</v>
      </c>
      <c r="M8" t="s">
        <v>107</v>
      </c>
    </row>
    <row r="9" spans="1:13" x14ac:dyDescent="0.45">
      <c r="A9" t="s">
        <v>194</v>
      </c>
      <c r="B9" t="s">
        <v>195</v>
      </c>
      <c r="C9" t="s">
        <v>108</v>
      </c>
      <c r="D9" t="s">
        <v>81</v>
      </c>
      <c r="E9" t="s">
        <v>35</v>
      </c>
      <c r="F9" s="4">
        <v>625974</v>
      </c>
      <c r="G9" s="4">
        <f>F9*(1+demand_drivers!E9)^5</f>
        <v>858847.25149825972</v>
      </c>
      <c r="H9" s="4">
        <f>G9*(1+demand_drivers!F9)^5</f>
        <v>1160761.4446951381</v>
      </c>
      <c r="I9" s="4">
        <f>H9*(1+demand_drivers!G9)^5</f>
        <v>1530054.8412876879</v>
      </c>
      <c r="J9" s="4">
        <f>I9*(1+demand_drivers!H9)^5</f>
        <v>1975200.5345129254</v>
      </c>
      <c r="K9" s="4">
        <f>J9*(1+demand_drivers!I9)^5</f>
        <v>2506539.7014601957</v>
      </c>
      <c r="L9" t="s">
        <v>196</v>
      </c>
      <c r="M9" t="s">
        <v>107</v>
      </c>
    </row>
    <row r="10" spans="1:13" x14ac:dyDescent="0.45">
      <c r="A10" t="s">
        <v>197</v>
      </c>
      <c r="B10" t="s">
        <v>198</v>
      </c>
      <c r="C10" t="s">
        <v>110</v>
      </c>
      <c r="D10" t="s">
        <v>74</v>
      </c>
      <c r="E10" t="s">
        <v>35</v>
      </c>
      <c r="F10" s="4">
        <v>76836</v>
      </c>
      <c r="G10" s="4">
        <f>F10*(1+demand_drivers!E10)^5</f>
        <v>109234.78905097081</v>
      </c>
      <c r="H10" s="4">
        <f>G10*(1+demand_drivers!F10)^5</f>
        <v>150294.56832127852</v>
      </c>
      <c r="I10" s="4">
        <f>H10*(1+demand_drivers!G10)^5</f>
        <v>222472.67581184197</v>
      </c>
      <c r="J10" s="4">
        <f>I10*(1+demand_drivers!H10)^5</f>
        <v>314662.82827303046</v>
      </c>
      <c r="K10" s="4">
        <f>J10*(1+demand_drivers!I10)^5</f>
        <v>424677.29938774748</v>
      </c>
      <c r="L10" t="s">
        <v>199</v>
      </c>
      <c r="M10" t="s">
        <v>113</v>
      </c>
    </row>
    <row r="11" spans="1:13" x14ac:dyDescent="0.45">
      <c r="A11" t="s">
        <v>200</v>
      </c>
      <c r="B11" t="s">
        <v>201</v>
      </c>
      <c r="C11" t="s">
        <v>114</v>
      </c>
      <c r="D11" t="s">
        <v>74</v>
      </c>
      <c r="E11" t="s">
        <v>35</v>
      </c>
      <c r="F11" s="4">
        <v>32930</v>
      </c>
      <c r="G11" s="4">
        <f>F11*(1+demand_drivers!E11)^5</f>
        <v>46815.315782295649</v>
      </c>
      <c r="H11" s="4">
        <f>G11*(1+demand_drivers!F11)^5</f>
        <v>64412.516721584951</v>
      </c>
      <c r="I11" s="4">
        <f>H11*(1+demand_drivers!G11)^5</f>
        <v>95346.259754333325</v>
      </c>
      <c r="J11" s="4">
        <f>I11*(1+demand_drivers!H11)^5</f>
        <v>134856.66790346833</v>
      </c>
      <c r="K11" s="4">
        <f>J11*(1+demand_drivers!I11)^5</f>
        <v>182006.13604089912</v>
      </c>
      <c r="L11" t="s">
        <v>199</v>
      </c>
      <c r="M11" t="s">
        <v>113</v>
      </c>
    </row>
    <row r="12" spans="1:13" x14ac:dyDescent="0.45">
      <c r="A12" t="s">
        <v>202</v>
      </c>
      <c r="B12" t="s">
        <v>203</v>
      </c>
      <c r="C12" t="s">
        <v>116</v>
      </c>
      <c r="D12" t="s">
        <v>81</v>
      </c>
      <c r="E12" t="s">
        <v>35</v>
      </c>
      <c r="F12" s="4">
        <v>499</v>
      </c>
      <c r="G12" s="4">
        <f>F12*(1+demand_drivers!E12)^5</f>
        <v>709.40912770621105</v>
      </c>
      <c r="H12" s="4">
        <f>G12*(1+demand_drivers!F12)^5</f>
        <v>976.06577115307903</v>
      </c>
      <c r="I12" s="4">
        <f>H12*(1+demand_drivers!G12)^5</f>
        <v>1444.8157794537606</v>
      </c>
      <c r="J12" s="4">
        <f>I12*(1+demand_drivers!H12)^5</f>
        <v>2043.5310441491256</v>
      </c>
      <c r="K12" s="4">
        <f>J12*(1+demand_drivers!I12)^5</f>
        <v>2758.0037013182105</v>
      </c>
      <c r="L12" t="s">
        <v>199</v>
      </c>
      <c r="M12" t="s">
        <v>119</v>
      </c>
    </row>
    <row r="13" spans="1:13" x14ac:dyDescent="0.45">
      <c r="A13" t="s">
        <v>204</v>
      </c>
      <c r="B13" t="s">
        <v>205</v>
      </c>
      <c r="C13" t="s">
        <v>120</v>
      </c>
      <c r="D13" t="s">
        <v>81</v>
      </c>
      <c r="E13" t="s">
        <v>35</v>
      </c>
      <c r="F13" s="4">
        <v>166</v>
      </c>
      <c r="G13" s="4">
        <f>F13*(1+demand_drivers!E13)^5</f>
        <v>235.99582204254716</v>
      </c>
      <c r="H13" s="4">
        <f>G13*(1+demand_drivers!F13)^5</f>
        <v>324.7032425078379</v>
      </c>
      <c r="I13" s="4">
        <f>H13*(1+demand_drivers!G13)^5</f>
        <v>480.64011901668181</v>
      </c>
      <c r="J13" s="4">
        <f>I13*(1+demand_drivers!H13)^5</f>
        <v>679.81193051854666</v>
      </c>
      <c r="K13" s="4">
        <f>J13*(1+demand_drivers!I13)^5</f>
        <v>917.4922132641741</v>
      </c>
      <c r="L13" t="s">
        <v>199</v>
      </c>
      <c r="M13" t="s">
        <v>119</v>
      </c>
    </row>
    <row r="14" spans="1:13" x14ac:dyDescent="0.45">
      <c r="A14" t="s">
        <v>206</v>
      </c>
      <c r="B14" t="s">
        <v>207</v>
      </c>
      <c r="C14" t="s">
        <v>122</v>
      </c>
      <c r="D14" t="s">
        <v>74</v>
      </c>
      <c r="E14" t="s">
        <v>35</v>
      </c>
      <c r="F14" s="4">
        <v>883858</v>
      </c>
      <c r="G14" s="4">
        <f>F14*(1+demand_drivers!E14)^5</f>
        <v>991738.94443821243</v>
      </c>
      <c r="H14" s="4">
        <f>G14*(1+demand_drivers!F14)^5</f>
        <v>1056334.3870909056</v>
      </c>
      <c r="I14" s="4">
        <f>H14*(1+demand_drivers!G14)^5</f>
        <v>1093827.3304147571</v>
      </c>
      <c r="J14" s="4">
        <f>I14*(1+demand_drivers!H14)^5</f>
        <v>1116991.4675926031</v>
      </c>
      <c r="K14" s="4">
        <f>J14*(1+demand_drivers!I14)^5</f>
        <v>1129332.5551912929</v>
      </c>
      <c r="L14" t="s">
        <v>208</v>
      </c>
      <c r="M14" t="s">
        <v>125</v>
      </c>
    </row>
    <row r="15" spans="1:13" x14ac:dyDescent="0.45">
      <c r="A15" t="s">
        <v>209</v>
      </c>
      <c r="B15" t="s">
        <v>210</v>
      </c>
      <c r="C15" t="s">
        <v>126</v>
      </c>
      <c r="D15" t="s">
        <v>74</v>
      </c>
      <c r="E15" t="s">
        <v>35</v>
      </c>
      <c r="F15" s="4">
        <v>589239</v>
      </c>
      <c r="G15" s="4">
        <f>F15*(1+demand_drivers!E15)^5</f>
        <v>661159.67031109962</v>
      </c>
      <c r="H15" s="4">
        <f>G15*(1+demand_drivers!F15)^5</f>
        <v>704223.32310739753</v>
      </c>
      <c r="I15" s="4">
        <f>H15*(1+demand_drivers!G15)^5</f>
        <v>729218.63279651385</v>
      </c>
      <c r="J15" s="4">
        <f>I15*(1+demand_drivers!H15)^5</f>
        <v>744661.3996510728</v>
      </c>
      <c r="K15" s="4">
        <f>J15*(1+demand_drivers!I15)^5</f>
        <v>752888.79603778245</v>
      </c>
      <c r="L15" t="s">
        <v>208</v>
      </c>
      <c r="M15" t="s">
        <v>125</v>
      </c>
    </row>
    <row r="16" spans="1:13" x14ac:dyDescent="0.45">
      <c r="A16" t="s">
        <v>211</v>
      </c>
      <c r="B16" t="s">
        <v>212</v>
      </c>
      <c r="C16" t="s">
        <v>128</v>
      </c>
      <c r="D16" t="s">
        <v>81</v>
      </c>
      <c r="E16" t="s">
        <v>35</v>
      </c>
      <c r="F16" s="4">
        <v>688397</v>
      </c>
      <c r="G16" s="4">
        <f>F16*(1+demand_drivers!E16)^5</f>
        <v>872330.67213940714</v>
      </c>
      <c r="H16" s="4">
        <f>G16*(1+demand_drivers!F16)^5</f>
        <v>1071568.0048388829</v>
      </c>
      <c r="I16" s="4">
        <f>H16*(1+demand_drivers!G16)^5</f>
        <v>1273301.5882007682</v>
      </c>
      <c r="J16" s="4">
        <f>I16*(1+demand_drivers!H16)^5</f>
        <v>1465388.4390915628</v>
      </c>
      <c r="K16" s="4">
        <f>J16*(1+demand_drivers!I16)^5</f>
        <v>1637031.2314394312</v>
      </c>
      <c r="L16" t="s">
        <v>208</v>
      </c>
      <c r="M16" t="s">
        <v>131</v>
      </c>
    </row>
    <row r="17" spans="1:13" x14ac:dyDescent="0.45">
      <c r="A17" t="s">
        <v>213</v>
      </c>
      <c r="B17" t="s">
        <v>214</v>
      </c>
      <c r="C17" t="s">
        <v>132</v>
      </c>
      <c r="D17" t="s">
        <v>81</v>
      </c>
      <c r="E17" t="s">
        <v>35</v>
      </c>
      <c r="F17" s="4">
        <v>370675</v>
      </c>
      <c r="G17" s="4">
        <f>F17*(1+demand_drivers!E17)^5</f>
        <v>469716.12586236541</v>
      </c>
      <c r="H17" s="4">
        <f>G17*(1+demand_drivers!F17)^5</f>
        <v>576997.67749373242</v>
      </c>
      <c r="I17" s="4">
        <f>H17*(1+demand_drivers!G17)^5</f>
        <v>685623.36298141873</v>
      </c>
      <c r="J17" s="4">
        <f>I17*(1+demand_drivers!H17)^5</f>
        <v>789054.65837338776</v>
      </c>
      <c r="K17" s="4">
        <f>J17*(1+demand_drivers!I17)^5</f>
        <v>881477.62368780095</v>
      </c>
      <c r="L17" t="s">
        <v>208</v>
      </c>
      <c r="M17" t="s">
        <v>131</v>
      </c>
    </row>
    <row r="18" spans="1:13" x14ac:dyDescent="0.45">
      <c r="A18" t="s">
        <v>215</v>
      </c>
      <c r="B18" t="s">
        <v>216</v>
      </c>
      <c r="C18" t="s">
        <v>134</v>
      </c>
      <c r="D18" t="s">
        <v>74</v>
      </c>
      <c r="E18" t="s">
        <v>35</v>
      </c>
      <c r="F18" s="4">
        <v>3132</v>
      </c>
      <c r="G18" s="4">
        <f>F18*(1+demand_drivers!E18)^5</f>
        <v>3514.2821290076931</v>
      </c>
      <c r="H18" s="4">
        <f>G18*(1+demand_drivers!F18)^5</f>
        <v>3743.1796740751533</v>
      </c>
      <c r="I18" s="4">
        <f>H18*(1+demand_drivers!G18)^5</f>
        <v>3876.0380048141442</v>
      </c>
      <c r="J18" s="4">
        <f>I18*(1+demand_drivers!H18)^5</f>
        <v>3958.1214137339184</v>
      </c>
      <c r="K18" s="4">
        <f>J18*(1+demand_drivers!I18)^5</f>
        <v>4001.852744285994</v>
      </c>
      <c r="L18" t="s">
        <v>217</v>
      </c>
      <c r="M18" t="s">
        <v>137</v>
      </c>
    </row>
    <row r="19" spans="1:13" x14ac:dyDescent="0.45">
      <c r="A19" t="s">
        <v>218</v>
      </c>
      <c r="B19" t="s">
        <v>219</v>
      </c>
      <c r="C19" t="s">
        <v>138</v>
      </c>
      <c r="D19" t="s">
        <v>74</v>
      </c>
      <c r="E19" t="s">
        <v>35</v>
      </c>
      <c r="F19" s="4">
        <v>2088</v>
      </c>
      <c r="G19" s="4">
        <f>F19*(1+demand_drivers!E19)^5</f>
        <v>2342.8547526717953</v>
      </c>
      <c r="H19" s="4">
        <f>G19*(1+demand_drivers!F19)^5</f>
        <v>2495.4531160501019</v>
      </c>
      <c r="I19" s="4">
        <f>H19*(1+demand_drivers!G19)^5</f>
        <v>2584.0253365427625</v>
      </c>
      <c r="J19" s="4">
        <f>I19*(1+demand_drivers!H19)^5</f>
        <v>2638.7476091559452</v>
      </c>
      <c r="K19" s="4">
        <f>J19*(1+demand_drivers!I19)^5</f>
        <v>2667.9018295239957</v>
      </c>
      <c r="L19" t="s">
        <v>217</v>
      </c>
      <c r="M19" t="s">
        <v>137</v>
      </c>
    </row>
    <row r="20" spans="1:13" x14ac:dyDescent="0.45">
      <c r="A20" t="s">
        <v>220</v>
      </c>
      <c r="B20" t="s">
        <v>221</v>
      </c>
      <c r="C20" t="s">
        <v>140</v>
      </c>
      <c r="D20" t="s">
        <v>81</v>
      </c>
      <c r="E20" t="s">
        <v>35</v>
      </c>
      <c r="F20" s="4">
        <v>760032</v>
      </c>
      <c r="G20" s="4">
        <f>F20*(1+demand_drivers!E20)^5</f>
        <v>963105.91912436846</v>
      </c>
      <c r="H20" s="4">
        <f>G20*(1+demand_drivers!F20)^5</f>
        <v>1183076.0068008807</v>
      </c>
      <c r="I20" s="4">
        <f>H20*(1+demand_drivers!G20)^5</f>
        <v>1405802.1064638663</v>
      </c>
      <c r="J20" s="4">
        <f>I20*(1+demand_drivers!H20)^5</f>
        <v>1617877.6289548597</v>
      </c>
      <c r="K20" s="4">
        <f>J20*(1+demand_drivers!I20)^5</f>
        <v>1807381.6720487939</v>
      </c>
      <c r="L20" t="s">
        <v>217</v>
      </c>
      <c r="M20" t="s">
        <v>143</v>
      </c>
    </row>
    <row r="21" spans="1:13" x14ac:dyDescent="0.45">
      <c r="A21" t="s">
        <v>222</v>
      </c>
      <c r="B21" t="s">
        <v>223</v>
      </c>
      <c r="C21" t="s">
        <v>144</v>
      </c>
      <c r="D21" t="s">
        <v>81</v>
      </c>
      <c r="E21" t="s">
        <v>35</v>
      </c>
      <c r="F21" s="4">
        <v>190008</v>
      </c>
      <c r="G21" s="4">
        <f>F21*(1+demand_drivers!E21)^5</f>
        <v>240776.47978109212</v>
      </c>
      <c r="H21" s="4">
        <f>G21*(1+demand_drivers!F21)^5</f>
        <v>295769.00170022016</v>
      </c>
      <c r="I21" s="4">
        <f>H21*(1+demand_drivers!G21)^5</f>
        <v>351450.52661596658</v>
      </c>
      <c r="J21" s="4">
        <f>I21*(1+demand_drivers!H21)^5</f>
        <v>404469.40723871492</v>
      </c>
      <c r="K21" s="4">
        <f>J21*(1+demand_drivers!I21)^5</f>
        <v>451845.41801219847</v>
      </c>
      <c r="L21" t="s">
        <v>217</v>
      </c>
      <c r="M21" t="s">
        <v>143</v>
      </c>
    </row>
    <row r="22" spans="1:13" x14ac:dyDescent="0.45">
      <c r="A22" t="s">
        <v>224</v>
      </c>
      <c r="B22" t="s">
        <v>225</v>
      </c>
      <c r="C22" t="s">
        <v>146</v>
      </c>
      <c r="D22" t="s">
        <v>74</v>
      </c>
      <c r="E22" t="s">
        <v>35</v>
      </c>
      <c r="F22" s="4">
        <v>190874</v>
      </c>
      <c r="G22" s="4">
        <f>F22*(1+demand_drivers!E22)^5</f>
        <v>227466.08663841887</v>
      </c>
      <c r="H22" s="4">
        <f>G22*(1+demand_drivers!F22)^5</f>
        <v>271073.17167658603</v>
      </c>
      <c r="I22" s="4">
        <f>H22*(1+demand_drivers!G22)^5</f>
        <v>323040.08693660377</v>
      </c>
      <c r="J22" s="4">
        <f>I22*(1+demand_drivers!H22)^5</f>
        <v>385155.36514760851</v>
      </c>
      <c r="K22" s="4">
        <f>J22*(1+demand_drivers!I22)^5</f>
        <v>459214.38639007084</v>
      </c>
      <c r="L22" t="s">
        <v>226</v>
      </c>
      <c r="M22" t="s">
        <v>149</v>
      </c>
    </row>
    <row r="23" spans="1:13" x14ac:dyDescent="0.45">
      <c r="A23" t="s">
        <v>227</v>
      </c>
      <c r="B23" t="s">
        <v>228</v>
      </c>
      <c r="C23" t="s">
        <v>150</v>
      </c>
      <c r="D23" t="s">
        <v>74</v>
      </c>
      <c r="E23" t="s">
        <v>35</v>
      </c>
      <c r="F23" s="4">
        <v>1081619</v>
      </c>
      <c r="G23" s="4">
        <f>F23*(1+demand_drivers!E23)^5</f>
        <v>1288974.093715016</v>
      </c>
      <c r="H23" s="4">
        <f>G23*(1+demand_drivers!F23)^5</f>
        <v>1536080.8327779439</v>
      </c>
      <c r="I23" s="4">
        <f>H23*(1+demand_drivers!G23)^5</f>
        <v>1830559.9284988127</v>
      </c>
      <c r="J23" s="4">
        <f>I23*(1+demand_drivers!H23)^5</f>
        <v>2182546.3965526531</v>
      </c>
      <c r="K23" s="4">
        <f>J23*(1+demand_drivers!I23)^5</f>
        <v>2602214.0542600979</v>
      </c>
      <c r="L23" t="s">
        <v>226</v>
      </c>
      <c r="M23" t="s">
        <v>149</v>
      </c>
    </row>
    <row r="24" spans="1:13" x14ac:dyDescent="0.45">
      <c r="A24" t="s">
        <v>229</v>
      </c>
      <c r="B24" t="s">
        <v>230</v>
      </c>
      <c r="C24" t="s">
        <v>152</v>
      </c>
      <c r="D24" t="s">
        <v>81</v>
      </c>
      <c r="E24" t="s">
        <v>35</v>
      </c>
      <c r="F24" s="4">
        <v>90353</v>
      </c>
      <c r="G24" s="4">
        <f>F24*(1+demand_drivers!E24)^5</f>
        <v>107674.39947840491</v>
      </c>
      <c r="H24" s="4">
        <f>G24*(1+demand_drivers!F24)^5</f>
        <v>128316.45106454821</v>
      </c>
      <c r="I24" s="4">
        <f>H24*(1+demand_drivers!G24)^5</f>
        <v>152915.7505735876</v>
      </c>
      <c r="J24" s="4">
        <f>I24*(1+demand_drivers!H24)^5</f>
        <v>182318.92613547089</v>
      </c>
      <c r="K24" s="4">
        <f>J24*(1+demand_drivers!I24)^5</f>
        <v>217375.84717406283</v>
      </c>
      <c r="L24" t="s">
        <v>226</v>
      </c>
      <c r="M24" t="s">
        <v>155</v>
      </c>
    </row>
    <row r="25" spans="1:13" x14ac:dyDescent="0.45">
      <c r="A25" t="s">
        <v>231</v>
      </c>
      <c r="B25" t="s">
        <v>232</v>
      </c>
      <c r="C25" t="s">
        <v>156</v>
      </c>
      <c r="D25" t="s">
        <v>81</v>
      </c>
      <c r="E25" t="s">
        <v>35</v>
      </c>
      <c r="F25" s="4">
        <v>210824</v>
      </c>
      <c r="G25" s="4">
        <f>F25*(1+demand_drivers!E25)^5</f>
        <v>251240.66268563565</v>
      </c>
      <c r="H25" s="4">
        <f>G25*(1+demand_drivers!F25)^5</f>
        <v>299405.52587332256</v>
      </c>
      <c r="I25" s="4">
        <f>H25*(1+demand_drivers!G25)^5</f>
        <v>356803.98214697943</v>
      </c>
      <c r="J25" s="4">
        <f>I25*(1+demand_drivers!H25)^5</f>
        <v>425411.50026656024</v>
      </c>
      <c r="K25" s="4">
        <f>J25*(1+demand_drivers!I25)^5</f>
        <v>507211.11202311632</v>
      </c>
      <c r="L25" t="s">
        <v>226</v>
      </c>
      <c r="M25" t="s">
        <v>155</v>
      </c>
    </row>
  </sheetData>
  <pageMargins left="0.7" right="0.7" top="0.75" bottom="0.75" header="0.3" footer="0.3"/>
  <pageSetup paperSize="9" orientation="portrait" horizontalDpi="300" verticalDpi="300"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5"/>
  <sheetViews>
    <sheetView workbookViewId="0">
      <selection activeCell="E15" sqref="E15"/>
    </sheetView>
  </sheetViews>
  <sheetFormatPr defaultColWidth="10.73046875" defaultRowHeight="14.25" x14ac:dyDescent="0.45"/>
  <cols>
    <col min="1" max="1" width="20.1328125" customWidth="1"/>
    <col min="2" max="2" width="8.73046875" customWidth="1"/>
    <col min="3" max="3" width="9.73046875" customWidth="1"/>
    <col min="4" max="4" width="15.73046875" customWidth="1"/>
    <col min="5" max="8" width="12.73046875" customWidth="1"/>
    <col min="9" max="9" width="14" customWidth="1"/>
    <col min="10" max="10" width="60.73046875" customWidth="1"/>
    <col min="11" max="11" width="119.73046875" customWidth="1"/>
    <col min="12" max="12" width="15.73046875" customWidth="1"/>
  </cols>
  <sheetData>
    <row r="1" spans="1:12" x14ac:dyDescent="0.45">
      <c r="A1" s="3" t="s">
        <v>233</v>
      </c>
      <c r="B1" s="3" t="s">
        <v>234</v>
      </c>
      <c r="C1" s="3" t="s">
        <v>3</v>
      </c>
      <c r="D1" s="3" t="s">
        <v>235</v>
      </c>
      <c r="E1" s="3" t="s">
        <v>236</v>
      </c>
      <c r="F1" s="3" t="s">
        <v>237</v>
      </c>
      <c r="G1" s="3" t="s">
        <v>238</v>
      </c>
      <c r="H1" s="3" t="s">
        <v>239</v>
      </c>
      <c r="I1" s="3" t="s">
        <v>240</v>
      </c>
      <c r="J1" s="3" t="s">
        <v>241</v>
      </c>
      <c r="K1" s="3" t="s">
        <v>2</v>
      </c>
      <c r="L1" s="3" t="s">
        <v>43</v>
      </c>
    </row>
    <row r="2" spans="1:12" x14ac:dyDescent="0.45">
      <c r="A2" t="s">
        <v>173</v>
      </c>
      <c r="B2" t="s">
        <v>242</v>
      </c>
      <c r="C2">
        <v>2025</v>
      </c>
      <c r="D2">
        <v>158806</v>
      </c>
      <c r="E2">
        <v>3.6799999999999999E-2</v>
      </c>
      <c r="F2">
        <v>3.2899999999999999E-2</v>
      </c>
      <c r="G2">
        <v>3.9100000000000003E-2</v>
      </c>
      <c r="H2">
        <v>4.3400000000000001E-2</v>
      </c>
      <c r="I2">
        <v>4.9799999999999997E-2</v>
      </c>
      <c r="J2" t="s">
        <v>243</v>
      </c>
      <c r="K2" t="s">
        <v>244</v>
      </c>
      <c r="L2" t="s">
        <v>76</v>
      </c>
    </row>
    <row r="3" spans="1:12" x14ac:dyDescent="0.45">
      <c r="A3" t="s">
        <v>176</v>
      </c>
      <c r="B3" t="s">
        <v>242</v>
      </c>
      <c r="C3">
        <v>2025</v>
      </c>
      <c r="D3">
        <v>635224</v>
      </c>
      <c r="E3">
        <v>3.6799999999999999E-2</v>
      </c>
      <c r="F3">
        <v>3.2899999999999999E-2</v>
      </c>
      <c r="G3">
        <v>3.9100000000000003E-2</v>
      </c>
      <c r="H3">
        <v>4.3400000000000001E-2</v>
      </c>
      <c r="I3">
        <v>4.9799999999999997E-2</v>
      </c>
      <c r="J3" t="s">
        <v>243</v>
      </c>
      <c r="K3" t="s">
        <v>244</v>
      </c>
      <c r="L3" t="s">
        <v>76</v>
      </c>
    </row>
    <row r="4" spans="1:12" x14ac:dyDescent="0.45">
      <c r="A4" t="s">
        <v>179</v>
      </c>
      <c r="B4" t="s">
        <v>242</v>
      </c>
      <c r="C4">
        <v>2025</v>
      </c>
      <c r="D4">
        <v>59511</v>
      </c>
      <c r="E4">
        <v>3.8399999999999997E-2</v>
      </c>
      <c r="F4">
        <v>3.5900000000000001E-2</v>
      </c>
      <c r="G4">
        <v>3.5000000000000003E-2</v>
      </c>
      <c r="H4">
        <v>3.4700000000000002E-2</v>
      </c>
      <c r="I4">
        <v>3.4700000000000002E-2</v>
      </c>
      <c r="J4" t="s">
        <v>245</v>
      </c>
      <c r="K4" t="s">
        <v>244</v>
      </c>
      <c r="L4" t="s">
        <v>83</v>
      </c>
    </row>
    <row r="5" spans="1:12" x14ac:dyDescent="0.45">
      <c r="A5" t="s">
        <v>182</v>
      </c>
      <c r="B5" t="s">
        <v>242</v>
      </c>
      <c r="C5">
        <v>2025</v>
      </c>
      <c r="D5">
        <v>89266</v>
      </c>
      <c r="E5">
        <v>3.8399999999999997E-2</v>
      </c>
      <c r="F5">
        <v>3.5900000000000001E-2</v>
      </c>
      <c r="G5">
        <v>3.5000000000000003E-2</v>
      </c>
      <c r="H5">
        <v>3.4700000000000002E-2</v>
      </c>
      <c r="I5">
        <v>3.4700000000000002E-2</v>
      </c>
      <c r="J5" t="s">
        <v>245</v>
      </c>
      <c r="K5" t="s">
        <v>244</v>
      </c>
      <c r="L5" t="s">
        <v>83</v>
      </c>
    </row>
    <row r="6" spans="1:12" x14ac:dyDescent="0.45">
      <c r="A6" t="s">
        <v>185</v>
      </c>
      <c r="B6" t="s">
        <v>242</v>
      </c>
      <c r="C6">
        <v>2025</v>
      </c>
      <c r="D6">
        <v>2103036</v>
      </c>
      <c r="E6">
        <v>4.99E-2</v>
      </c>
      <c r="F6">
        <v>4.2799999999999998E-2</v>
      </c>
      <c r="G6">
        <v>3.8199999999999998E-2</v>
      </c>
      <c r="H6">
        <v>3.5900000000000001E-2</v>
      </c>
      <c r="I6">
        <v>3.4299999999999997E-2</v>
      </c>
      <c r="J6" t="s">
        <v>246</v>
      </c>
      <c r="K6" t="s">
        <v>244</v>
      </c>
      <c r="L6" t="s">
        <v>101</v>
      </c>
    </row>
    <row r="7" spans="1:12" x14ac:dyDescent="0.45">
      <c r="A7" t="s">
        <v>188</v>
      </c>
      <c r="B7" t="s">
        <v>242</v>
      </c>
      <c r="C7">
        <v>2025</v>
      </c>
      <c r="D7">
        <v>4907084</v>
      </c>
      <c r="E7">
        <v>4.99E-2</v>
      </c>
      <c r="F7">
        <v>4.2799999999999998E-2</v>
      </c>
      <c r="G7">
        <v>3.8199999999999998E-2</v>
      </c>
      <c r="H7">
        <v>3.5900000000000001E-2</v>
      </c>
      <c r="I7">
        <v>3.4299999999999997E-2</v>
      </c>
      <c r="J7" t="s">
        <v>246</v>
      </c>
      <c r="K7" t="s">
        <v>244</v>
      </c>
      <c r="L7" t="s">
        <v>101</v>
      </c>
    </row>
    <row r="8" spans="1:12" x14ac:dyDescent="0.45">
      <c r="A8" t="s">
        <v>191</v>
      </c>
      <c r="B8" t="s">
        <v>242</v>
      </c>
      <c r="C8">
        <v>2025</v>
      </c>
      <c r="D8">
        <v>938961</v>
      </c>
      <c r="E8">
        <v>6.5299999999999997E-2</v>
      </c>
      <c r="F8">
        <v>6.2100000000000002E-2</v>
      </c>
      <c r="G8">
        <v>5.6800000000000003E-2</v>
      </c>
      <c r="H8">
        <v>5.2400000000000002E-2</v>
      </c>
      <c r="I8">
        <v>4.8800000000000003E-2</v>
      </c>
      <c r="J8" t="s">
        <v>247</v>
      </c>
      <c r="K8" t="s">
        <v>244</v>
      </c>
      <c r="L8" t="s">
        <v>107</v>
      </c>
    </row>
    <row r="9" spans="1:12" x14ac:dyDescent="0.45">
      <c r="A9" t="s">
        <v>194</v>
      </c>
      <c r="B9" t="s">
        <v>242</v>
      </c>
      <c r="C9">
        <v>2025</v>
      </c>
      <c r="D9">
        <v>625974</v>
      </c>
      <c r="E9">
        <v>6.5299999999999997E-2</v>
      </c>
      <c r="F9">
        <v>6.2100000000000002E-2</v>
      </c>
      <c r="G9">
        <v>5.6800000000000003E-2</v>
      </c>
      <c r="H9">
        <v>5.2400000000000002E-2</v>
      </c>
      <c r="I9">
        <v>4.8800000000000003E-2</v>
      </c>
      <c r="J9" t="s">
        <v>247</v>
      </c>
      <c r="K9" t="s">
        <v>244</v>
      </c>
      <c r="L9" t="s">
        <v>107</v>
      </c>
    </row>
    <row r="10" spans="1:12" x14ac:dyDescent="0.45">
      <c r="A10" t="s">
        <v>197</v>
      </c>
      <c r="B10" t="s">
        <v>242</v>
      </c>
      <c r="C10">
        <v>2025</v>
      </c>
      <c r="D10">
        <v>76836</v>
      </c>
      <c r="E10">
        <v>7.2900000000000006E-2</v>
      </c>
      <c r="F10">
        <v>6.59E-2</v>
      </c>
      <c r="G10">
        <v>8.1600000000000006E-2</v>
      </c>
      <c r="H10">
        <v>7.1800000000000003E-2</v>
      </c>
      <c r="I10">
        <v>6.1800000000000001E-2</v>
      </c>
      <c r="J10" t="s">
        <v>248</v>
      </c>
      <c r="K10" t="s">
        <v>249</v>
      </c>
      <c r="L10" t="s">
        <v>113</v>
      </c>
    </row>
    <row r="11" spans="1:12" x14ac:dyDescent="0.45">
      <c r="A11" t="s">
        <v>200</v>
      </c>
      <c r="B11" t="s">
        <v>242</v>
      </c>
      <c r="C11">
        <v>2025</v>
      </c>
      <c r="D11">
        <v>32930</v>
      </c>
      <c r="E11">
        <v>7.2900000000000006E-2</v>
      </c>
      <c r="F11">
        <v>6.59E-2</v>
      </c>
      <c r="G11">
        <v>8.1600000000000006E-2</v>
      </c>
      <c r="H11">
        <v>7.1800000000000003E-2</v>
      </c>
      <c r="I11">
        <v>6.1800000000000001E-2</v>
      </c>
      <c r="J11" t="s">
        <v>248</v>
      </c>
      <c r="K11" t="s">
        <v>249</v>
      </c>
      <c r="L11" t="s">
        <v>113</v>
      </c>
    </row>
    <row r="12" spans="1:12" x14ac:dyDescent="0.45">
      <c r="A12" t="s">
        <v>202</v>
      </c>
      <c r="B12" t="s">
        <v>242</v>
      </c>
      <c r="C12">
        <v>2025</v>
      </c>
      <c r="D12">
        <v>499</v>
      </c>
      <c r="E12">
        <v>7.2900000000000006E-2</v>
      </c>
      <c r="F12">
        <v>6.59E-2</v>
      </c>
      <c r="G12">
        <v>8.1600000000000006E-2</v>
      </c>
      <c r="H12">
        <v>7.1800000000000003E-2</v>
      </c>
      <c r="I12">
        <v>6.1800000000000001E-2</v>
      </c>
      <c r="J12" t="s">
        <v>248</v>
      </c>
      <c r="K12" t="s">
        <v>249</v>
      </c>
      <c r="L12" t="s">
        <v>119</v>
      </c>
    </row>
    <row r="13" spans="1:12" x14ac:dyDescent="0.45">
      <c r="A13" t="s">
        <v>204</v>
      </c>
      <c r="B13" t="s">
        <v>242</v>
      </c>
      <c r="C13">
        <v>2025</v>
      </c>
      <c r="D13">
        <v>166</v>
      </c>
      <c r="E13">
        <v>7.2900000000000006E-2</v>
      </c>
      <c r="F13">
        <v>6.59E-2</v>
      </c>
      <c r="G13">
        <v>8.1600000000000006E-2</v>
      </c>
      <c r="H13">
        <v>7.1800000000000003E-2</v>
      </c>
      <c r="I13">
        <v>6.1800000000000001E-2</v>
      </c>
      <c r="J13" t="s">
        <v>248</v>
      </c>
      <c r="K13" t="s">
        <v>249</v>
      </c>
      <c r="L13" t="s">
        <v>119</v>
      </c>
    </row>
    <row r="14" spans="1:12" x14ac:dyDescent="0.45">
      <c r="A14" t="s">
        <v>206</v>
      </c>
      <c r="B14" t="s">
        <v>242</v>
      </c>
      <c r="C14">
        <v>2025</v>
      </c>
      <c r="D14">
        <v>883858</v>
      </c>
      <c r="E14">
        <v>2.3300000000000001E-2</v>
      </c>
      <c r="F14">
        <v>1.2699999999999999E-2</v>
      </c>
      <c r="G14">
        <v>7.0000000000000001E-3</v>
      </c>
      <c r="H14">
        <v>4.1999999999999997E-3</v>
      </c>
      <c r="I14">
        <v>2.2000000000000001E-3</v>
      </c>
      <c r="J14" t="s">
        <v>250</v>
      </c>
      <c r="K14" t="s">
        <v>249</v>
      </c>
      <c r="L14" t="s">
        <v>125</v>
      </c>
    </row>
    <row r="15" spans="1:12" x14ac:dyDescent="0.45">
      <c r="A15" t="s">
        <v>209</v>
      </c>
      <c r="B15" t="s">
        <v>242</v>
      </c>
      <c r="C15">
        <v>2025</v>
      </c>
      <c r="D15">
        <v>589239</v>
      </c>
      <c r="E15">
        <v>2.3300000000000001E-2</v>
      </c>
      <c r="F15">
        <v>1.2699999999999999E-2</v>
      </c>
      <c r="G15">
        <v>7.0000000000000001E-3</v>
      </c>
      <c r="H15">
        <v>4.1999999999999997E-3</v>
      </c>
      <c r="I15">
        <v>2.2000000000000001E-3</v>
      </c>
      <c r="J15" t="s">
        <v>250</v>
      </c>
      <c r="K15" t="s">
        <v>249</v>
      </c>
      <c r="L15" t="s">
        <v>125</v>
      </c>
    </row>
    <row r="16" spans="1:12" x14ac:dyDescent="0.45">
      <c r="A16" t="s">
        <v>211</v>
      </c>
      <c r="B16" t="s">
        <v>242</v>
      </c>
      <c r="C16">
        <v>2025</v>
      </c>
      <c r="D16">
        <v>688397</v>
      </c>
      <c r="E16">
        <v>4.8500000000000001E-2</v>
      </c>
      <c r="F16">
        <v>4.2000000000000003E-2</v>
      </c>
      <c r="G16">
        <v>3.5099999999999999E-2</v>
      </c>
      <c r="H16">
        <v>2.8500000000000001E-2</v>
      </c>
      <c r="I16">
        <v>2.24E-2</v>
      </c>
      <c r="J16" t="s">
        <v>250</v>
      </c>
      <c r="K16" t="s">
        <v>249</v>
      </c>
      <c r="L16" t="s">
        <v>131</v>
      </c>
    </row>
    <row r="17" spans="1:12" x14ac:dyDescent="0.45">
      <c r="A17" t="s">
        <v>213</v>
      </c>
      <c r="B17" t="s">
        <v>242</v>
      </c>
      <c r="C17">
        <v>2025</v>
      </c>
      <c r="D17">
        <v>370675</v>
      </c>
      <c r="E17">
        <v>4.8500000000000001E-2</v>
      </c>
      <c r="F17">
        <v>4.2000000000000003E-2</v>
      </c>
      <c r="G17">
        <v>3.5099999999999999E-2</v>
      </c>
      <c r="H17">
        <v>2.8500000000000001E-2</v>
      </c>
      <c r="I17">
        <v>2.24E-2</v>
      </c>
      <c r="J17" t="s">
        <v>250</v>
      </c>
      <c r="K17" t="s">
        <v>249</v>
      </c>
      <c r="L17" t="s">
        <v>131</v>
      </c>
    </row>
    <row r="18" spans="1:12" x14ac:dyDescent="0.45">
      <c r="A18" t="s">
        <v>215</v>
      </c>
      <c r="B18" t="s">
        <v>242</v>
      </c>
      <c r="C18">
        <v>2025</v>
      </c>
      <c r="D18">
        <v>3132</v>
      </c>
      <c r="E18">
        <v>2.3300000000000001E-2</v>
      </c>
      <c r="F18">
        <v>1.2699999999999999E-2</v>
      </c>
      <c r="G18">
        <v>7.0000000000000001E-3</v>
      </c>
      <c r="H18">
        <v>4.1999999999999997E-3</v>
      </c>
      <c r="I18">
        <v>2.2000000000000001E-3</v>
      </c>
      <c r="J18" t="s">
        <v>251</v>
      </c>
      <c r="K18" t="s">
        <v>249</v>
      </c>
      <c r="L18" t="s">
        <v>137</v>
      </c>
    </row>
    <row r="19" spans="1:12" x14ac:dyDescent="0.45">
      <c r="A19" t="s">
        <v>218</v>
      </c>
      <c r="B19" t="s">
        <v>242</v>
      </c>
      <c r="C19">
        <v>2025</v>
      </c>
      <c r="D19">
        <v>2088</v>
      </c>
      <c r="E19">
        <v>2.3300000000000001E-2</v>
      </c>
      <c r="F19">
        <v>1.2699999999999999E-2</v>
      </c>
      <c r="G19">
        <v>7.0000000000000001E-3</v>
      </c>
      <c r="H19">
        <v>4.1999999999999997E-3</v>
      </c>
      <c r="I19">
        <v>2.2000000000000001E-3</v>
      </c>
      <c r="J19" t="s">
        <v>251</v>
      </c>
      <c r="K19" t="s">
        <v>249</v>
      </c>
      <c r="L19" t="s">
        <v>137</v>
      </c>
    </row>
    <row r="20" spans="1:12" x14ac:dyDescent="0.45">
      <c r="A20" t="s">
        <v>220</v>
      </c>
      <c r="B20" t="s">
        <v>242</v>
      </c>
      <c r="C20">
        <v>2025</v>
      </c>
      <c r="D20">
        <v>760032</v>
      </c>
      <c r="E20">
        <v>4.8500000000000001E-2</v>
      </c>
      <c r="F20">
        <v>4.2000000000000003E-2</v>
      </c>
      <c r="G20">
        <v>3.5099999999999999E-2</v>
      </c>
      <c r="H20">
        <v>2.8500000000000001E-2</v>
      </c>
      <c r="I20">
        <v>2.24E-2</v>
      </c>
      <c r="J20" t="s">
        <v>251</v>
      </c>
      <c r="K20" t="s">
        <v>249</v>
      </c>
      <c r="L20" t="s">
        <v>143</v>
      </c>
    </row>
    <row r="21" spans="1:12" x14ac:dyDescent="0.45">
      <c r="A21" t="s">
        <v>222</v>
      </c>
      <c r="B21" t="s">
        <v>242</v>
      </c>
      <c r="C21">
        <v>2025</v>
      </c>
      <c r="D21">
        <v>190008</v>
      </c>
      <c r="E21">
        <v>4.8500000000000001E-2</v>
      </c>
      <c r="F21">
        <v>4.2000000000000003E-2</v>
      </c>
      <c r="G21">
        <v>3.5099999999999999E-2</v>
      </c>
      <c r="H21">
        <v>2.8500000000000001E-2</v>
      </c>
      <c r="I21">
        <v>2.24E-2</v>
      </c>
      <c r="J21" t="s">
        <v>251</v>
      </c>
      <c r="K21" t="s">
        <v>249</v>
      </c>
      <c r="L21" t="s">
        <v>143</v>
      </c>
    </row>
    <row r="22" spans="1:12" x14ac:dyDescent="0.45">
      <c r="A22" t="s">
        <v>224</v>
      </c>
      <c r="B22" t="s">
        <v>242</v>
      </c>
      <c r="C22">
        <v>2025</v>
      </c>
      <c r="D22">
        <v>190874</v>
      </c>
      <c r="E22">
        <v>3.5700000000000003E-2</v>
      </c>
      <c r="F22">
        <v>3.5700000000000003E-2</v>
      </c>
      <c r="G22">
        <v>3.5700000000000003E-2</v>
      </c>
      <c r="H22">
        <v>3.5799999999999998E-2</v>
      </c>
      <c r="I22">
        <v>3.5799999999999998E-2</v>
      </c>
      <c r="J22" t="s">
        <v>252</v>
      </c>
      <c r="K22" t="s">
        <v>249</v>
      </c>
      <c r="L22" t="s">
        <v>149</v>
      </c>
    </row>
    <row r="23" spans="1:12" x14ac:dyDescent="0.45">
      <c r="A23" t="s">
        <v>227</v>
      </c>
      <c r="B23" t="s">
        <v>242</v>
      </c>
      <c r="C23">
        <v>2025</v>
      </c>
      <c r="D23">
        <v>1081619</v>
      </c>
      <c r="E23">
        <v>3.5700000000000003E-2</v>
      </c>
      <c r="F23">
        <v>3.5700000000000003E-2</v>
      </c>
      <c r="G23">
        <v>3.5700000000000003E-2</v>
      </c>
      <c r="H23">
        <v>3.5799999999999998E-2</v>
      </c>
      <c r="I23">
        <v>3.5799999999999998E-2</v>
      </c>
      <c r="J23" t="s">
        <v>252</v>
      </c>
      <c r="K23" t="s">
        <v>249</v>
      </c>
      <c r="L23" t="s">
        <v>149</v>
      </c>
    </row>
    <row r="24" spans="1:12" x14ac:dyDescent="0.45">
      <c r="A24" t="s">
        <v>229</v>
      </c>
      <c r="B24" t="s">
        <v>242</v>
      </c>
      <c r="C24">
        <v>2025</v>
      </c>
      <c r="D24">
        <v>90353</v>
      </c>
      <c r="E24">
        <v>3.5700000000000003E-2</v>
      </c>
      <c r="F24">
        <v>3.5700000000000003E-2</v>
      </c>
      <c r="G24">
        <v>3.5700000000000003E-2</v>
      </c>
      <c r="H24">
        <v>3.5799999999999998E-2</v>
      </c>
      <c r="I24">
        <v>3.5799999999999998E-2</v>
      </c>
      <c r="J24" t="s">
        <v>252</v>
      </c>
      <c r="K24" t="s">
        <v>249</v>
      </c>
      <c r="L24" t="s">
        <v>155</v>
      </c>
    </row>
    <row r="25" spans="1:12" x14ac:dyDescent="0.45">
      <c r="A25" t="s">
        <v>231</v>
      </c>
      <c r="B25" t="s">
        <v>242</v>
      </c>
      <c r="C25">
        <v>2025</v>
      </c>
      <c r="D25">
        <v>210824</v>
      </c>
      <c r="E25">
        <v>3.5700000000000003E-2</v>
      </c>
      <c r="F25">
        <v>3.5700000000000003E-2</v>
      </c>
      <c r="G25">
        <v>3.5700000000000003E-2</v>
      </c>
      <c r="H25">
        <v>3.5799999999999998E-2</v>
      </c>
      <c r="I25">
        <v>3.5799999999999998E-2</v>
      </c>
      <c r="J25" t="s">
        <v>252</v>
      </c>
      <c r="K25" t="s">
        <v>249</v>
      </c>
      <c r="L25" t="s">
        <v>155</v>
      </c>
    </row>
  </sheetData>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9"/>
  <sheetViews>
    <sheetView tabSelected="1" workbookViewId="0">
      <selection activeCell="G14" sqref="G14"/>
    </sheetView>
  </sheetViews>
  <sheetFormatPr defaultColWidth="10.73046875" defaultRowHeight="14.25" x14ac:dyDescent="0.45"/>
  <cols>
    <col min="1" max="1" width="13.3984375" customWidth="1"/>
    <col min="2" max="2" width="9.73046875" customWidth="1"/>
    <col min="3" max="3" width="9.1328125" bestFit="1" customWidth="1"/>
    <col min="4" max="9" width="8.86328125" bestFit="1" customWidth="1"/>
    <col min="10" max="10" width="18.3984375" bestFit="1" customWidth="1"/>
    <col min="11" max="12" width="19.3984375" bestFit="1" customWidth="1"/>
    <col min="13" max="13" width="71.73046875" customWidth="1"/>
  </cols>
  <sheetData>
    <row r="1" spans="1:13" x14ac:dyDescent="0.45">
      <c r="A1" s="2" t="s">
        <v>37</v>
      </c>
      <c r="B1" s="2" t="s">
        <v>165</v>
      </c>
      <c r="C1" s="2" t="s">
        <v>166</v>
      </c>
      <c r="D1" s="2" t="s">
        <v>167</v>
      </c>
      <c r="E1" s="2" t="s">
        <v>168</v>
      </c>
      <c r="F1" s="2" t="s">
        <v>169</v>
      </c>
      <c r="G1" s="2" t="s">
        <v>170</v>
      </c>
      <c r="H1" s="2" t="s">
        <v>171</v>
      </c>
      <c r="I1" s="2" t="s">
        <v>172</v>
      </c>
      <c r="J1" s="2" t="s">
        <v>253</v>
      </c>
      <c r="K1" s="2" t="s">
        <v>254</v>
      </c>
      <c r="L1" s="2" t="s">
        <v>255</v>
      </c>
      <c r="M1" s="2" t="s">
        <v>2</v>
      </c>
    </row>
    <row r="2" spans="1:13" x14ac:dyDescent="0.45">
      <c r="A2" t="s">
        <v>256</v>
      </c>
      <c r="B2" t="s">
        <v>45</v>
      </c>
      <c r="C2" t="s">
        <v>35</v>
      </c>
      <c r="D2" s="23">
        <f>supply_calcs!H2</f>
        <v>41.5</v>
      </c>
      <c r="E2" s="23">
        <f>Table7[[#This Row],[y2025]]</f>
        <v>41.5</v>
      </c>
      <c r="F2" s="23">
        <f>Table7[[#This Row],[y2030]]</f>
        <v>41.5</v>
      </c>
      <c r="G2" s="23">
        <f>Table7[[#This Row],[y2035]]</f>
        <v>41.5</v>
      </c>
      <c r="H2" s="23">
        <f>Table7[[#This Row],[y2040]]</f>
        <v>41.5</v>
      </c>
      <c r="I2" s="23">
        <f>Table7[[#This Row],[y2045]]</f>
        <v>41.5</v>
      </c>
      <c r="J2">
        <v>2000</v>
      </c>
      <c r="K2" s="28">
        <v>5000</v>
      </c>
      <c r="L2">
        <f>Table7[[#This Row],[ava_up_PJ_2035]]*10</f>
        <v>50000</v>
      </c>
      <c r="M2" t="s">
        <v>257</v>
      </c>
    </row>
    <row r="3" spans="1:13" x14ac:dyDescent="0.45">
      <c r="A3" t="s">
        <v>258</v>
      </c>
      <c r="B3" t="s">
        <v>50</v>
      </c>
      <c r="C3" t="s">
        <v>35</v>
      </c>
      <c r="D3" s="23">
        <f>supply_calcs!H3</f>
        <v>35.76</v>
      </c>
      <c r="E3" s="23">
        <f>Table7[[#This Row],[y2025]]</f>
        <v>35.76</v>
      </c>
      <c r="F3" s="23">
        <f>Table7[[#This Row],[y2030]]</f>
        <v>35.76</v>
      </c>
      <c r="G3" s="23">
        <f>Table7[[#This Row],[y2035]]</f>
        <v>35.76</v>
      </c>
      <c r="H3" s="23">
        <f>Table7[[#This Row],[y2040]]</f>
        <v>35.76</v>
      </c>
      <c r="I3" s="23">
        <f>Table7[[#This Row],[y2045]]</f>
        <v>35.76</v>
      </c>
      <c r="J3">
        <v>4000</v>
      </c>
      <c r="K3" s="28">
        <v>10000</v>
      </c>
      <c r="L3">
        <f>Table7[[#This Row],[ava_up_PJ_2035]]*10</f>
        <v>100000</v>
      </c>
      <c r="M3" t="s">
        <v>257</v>
      </c>
    </row>
    <row r="4" spans="1:13" x14ac:dyDescent="0.45">
      <c r="A4" t="s">
        <v>259</v>
      </c>
      <c r="B4" t="s">
        <v>52</v>
      </c>
      <c r="C4" t="s">
        <v>35</v>
      </c>
      <c r="D4" s="23">
        <f>supply_calcs!H4</f>
        <v>62.88</v>
      </c>
      <c r="E4" s="23">
        <f>Table7[[#This Row],[y2025]]</f>
        <v>62.88</v>
      </c>
      <c r="F4" s="23">
        <f>Table7[[#This Row],[y2030]]</f>
        <v>62.88</v>
      </c>
      <c r="G4" s="23">
        <f>Table7[[#This Row],[y2035]]</f>
        <v>62.88</v>
      </c>
      <c r="H4" s="23">
        <f>Table7[[#This Row],[y2040]]</f>
        <v>62.88</v>
      </c>
      <c r="I4" s="23">
        <f>Table7[[#This Row],[y2045]]</f>
        <v>62.88</v>
      </c>
      <c r="J4">
        <v>500</v>
      </c>
      <c r="K4" s="28">
        <v>5000</v>
      </c>
      <c r="L4">
        <f>Table7[[#This Row],[ava_up_PJ_2035]]*10</f>
        <v>50000</v>
      </c>
      <c r="M4" t="s">
        <v>257</v>
      </c>
    </row>
    <row r="5" spans="1:13" x14ac:dyDescent="0.45">
      <c r="A5" t="s">
        <v>260</v>
      </c>
      <c r="B5" t="s">
        <v>55</v>
      </c>
      <c r="C5" t="s">
        <v>35</v>
      </c>
      <c r="D5" s="23">
        <f>supply_calcs!H5</f>
        <v>24.29</v>
      </c>
      <c r="E5" s="23">
        <f>Table7[[#This Row],[y2025]]</f>
        <v>24.29</v>
      </c>
      <c r="F5" s="23">
        <f>Table7[[#This Row],[y2030]]</f>
        <v>24.29</v>
      </c>
      <c r="G5" s="23">
        <f>Table7[[#This Row],[y2035]]</f>
        <v>24.29</v>
      </c>
      <c r="H5" s="23">
        <f>Table7[[#This Row],[y2040]]</f>
        <v>24.29</v>
      </c>
      <c r="I5" s="23">
        <f>Table7[[#This Row],[y2045]]</f>
        <v>24.29</v>
      </c>
      <c r="J5">
        <v>1000</v>
      </c>
      <c r="K5" s="28">
        <v>10000</v>
      </c>
      <c r="L5">
        <f>Table7[[#This Row],[ava_up_PJ_2035]]*10</f>
        <v>100000</v>
      </c>
      <c r="M5" t="s">
        <v>257</v>
      </c>
    </row>
    <row r="6" spans="1:13" x14ac:dyDescent="0.45">
      <c r="A6" t="s">
        <v>261</v>
      </c>
      <c r="B6" t="s">
        <v>58</v>
      </c>
      <c r="C6" t="s">
        <v>35</v>
      </c>
      <c r="D6" s="23">
        <f>supply_calcs!H6</f>
        <v>23.71</v>
      </c>
      <c r="E6" s="23">
        <f>Table7[[#This Row],[y2025]]</f>
        <v>23.71</v>
      </c>
      <c r="F6" s="23">
        <f>Table7[[#This Row],[y2030]]</f>
        <v>23.71</v>
      </c>
      <c r="G6" s="23">
        <f>Table7[[#This Row],[y2035]]</f>
        <v>23.71</v>
      </c>
      <c r="H6" s="23">
        <f>Table7[[#This Row],[y2040]]</f>
        <v>23.71</v>
      </c>
      <c r="I6" s="23">
        <f>Table7[[#This Row],[y2045]]</f>
        <v>23.71</v>
      </c>
      <c r="J6">
        <v>300</v>
      </c>
      <c r="K6" s="28">
        <f t="shared" ref="K2:K9" si="0">J6*2</f>
        <v>600</v>
      </c>
      <c r="L6">
        <f>Table7[[#This Row],[ava_up_PJ_2035]]*10</f>
        <v>6000</v>
      </c>
      <c r="M6" t="s">
        <v>257</v>
      </c>
    </row>
    <row r="7" spans="1:13" x14ac:dyDescent="0.45">
      <c r="A7" t="s">
        <v>262</v>
      </c>
      <c r="B7" t="s">
        <v>62</v>
      </c>
      <c r="C7" t="s">
        <v>35</v>
      </c>
      <c r="D7" s="23">
        <f>supply_calcs!H7</f>
        <v>32.869999999999997</v>
      </c>
      <c r="E7" s="23">
        <f>Table7[[#This Row],[y2025]]</f>
        <v>32.869999999999997</v>
      </c>
      <c r="F7" s="23">
        <f>Table7[[#This Row],[y2030]]</f>
        <v>32.869999999999997</v>
      </c>
      <c r="G7" s="23">
        <f>Table7[[#This Row],[y2035]]</f>
        <v>32.869999999999997</v>
      </c>
      <c r="H7" s="23">
        <f>Table7[[#This Row],[y2040]]</f>
        <v>32.869999999999997</v>
      </c>
      <c r="I7" s="23">
        <f>Table7[[#This Row],[y2045]]</f>
        <v>32.869999999999997</v>
      </c>
      <c r="J7">
        <v>1500</v>
      </c>
      <c r="K7" s="28">
        <f t="shared" si="0"/>
        <v>3000</v>
      </c>
      <c r="L7">
        <f>Table7[[#This Row],[ava_up_PJ_2035]]*10</f>
        <v>30000</v>
      </c>
      <c r="M7" t="s">
        <v>257</v>
      </c>
    </row>
    <row r="8" spans="1:13" x14ac:dyDescent="0.45">
      <c r="A8" t="s">
        <v>263</v>
      </c>
      <c r="B8" t="s">
        <v>65</v>
      </c>
      <c r="C8" t="s">
        <v>35</v>
      </c>
      <c r="D8" s="27">
        <v>150</v>
      </c>
      <c r="E8" s="23">
        <f>Table7[[#This Row],[y2025]]</f>
        <v>150</v>
      </c>
      <c r="F8" s="23">
        <f>Table7[[#This Row],[y2030]]</f>
        <v>150</v>
      </c>
      <c r="G8" s="23">
        <f>Table7[[#This Row],[y2035]]</f>
        <v>150</v>
      </c>
      <c r="H8" s="23">
        <f>Table7[[#This Row],[y2040]]</f>
        <v>150</v>
      </c>
      <c r="I8" s="23">
        <f>Table7[[#This Row],[y2045]]</f>
        <v>150</v>
      </c>
      <c r="J8">
        <v>10</v>
      </c>
      <c r="K8" s="28">
        <v>1000</v>
      </c>
      <c r="L8">
        <f>Table7[[#This Row],[ava_up_PJ_2035]]*10</f>
        <v>10000</v>
      </c>
      <c r="M8" t="s">
        <v>257</v>
      </c>
    </row>
    <row r="9" spans="1:13" x14ac:dyDescent="0.45">
      <c r="A9" t="s">
        <v>264</v>
      </c>
      <c r="B9" t="s">
        <v>69</v>
      </c>
      <c r="C9" t="s">
        <v>35</v>
      </c>
      <c r="D9" s="27">
        <v>50</v>
      </c>
      <c r="E9" s="23">
        <f>Table7[[#This Row],[y2025]]</f>
        <v>50</v>
      </c>
      <c r="F9" s="23">
        <f>Table7[[#This Row],[y2030]]</f>
        <v>50</v>
      </c>
      <c r="G9" s="23">
        <f>Table7[[#This Row],[y2035]]</f>
        <v>50</v>
      </c>
      <c r="H9" s="23">
        <f>Table7[[#This Row],[y2040]]</f>
        <v>50</v>
      </c>
      <c r="I9" s="23">
        <f>Table7[[#This Row],[y2045]]</f>
        <v>50</v>
      </c>
      <c r="J9">
        <v>500</v>
      </c>
      <c r="K9" s="28">
        <v>2000</v>
      </c>
      <c r="L9">
        <f>Table7[[#This Row],[ava_up_PJ_2035]]*10</f>
        <v>20000</v>
      </c>
      <c r="M9" t="s">
        <v>257</v>
      </c>
    </row>
  </sheetData>
  <pageMargins left="0.7" right="0.7" top="0.75" bottom="0.75" header="0.3" footer="0.3"/>
  <pageSetup paperSize="9" orientation="portrait" horizontalDpi="300" verticalDpi="30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9A68-EC66-49D7-BF0B-39E6CB451A5C}">
  <dimension ref="A1:K9"/>
  <sheetViews>
    <sheetView workbookViewId="0">
      <selection activeCell="H1" sqref="H1:H8"/>
    </sheetView>
  </sheetViews>
  <sheetFormatPr defaultRowHeight="14.25" x14ac:dyDescent="0.45"/>
  <cols>
    <col min="2" max="2" width="28.3984375" bestFit="1" customWidth="1"/>
    <col min="3" max="3" width="16.1328125" customWidth="1"/>
    <col min="4" max="4" width="28.86328125" bestFit="1" customWidth="1"/>
    <col min="5" max="6" width="13.1328125" customWidth="1"/>
    <col min="7" max="7" width="15.59765625" bestFit="1" customWidth="1"/>
    <col min="8" max="8" width="15.59765625" customWidth="1"/>
    <col min="9" max="9" width="20.59765625" customWidth="1"/>
  </cols>
  <sheetData>
    <row r="1" spans="1:11" x14ac:dyDescent="0.45">
      <c r="B1" t="s">
        <v>265</v>
      </c>
      <c r="C1" t="s">
        <v>266</v>
      </c>
      <c r="D1" t="s">
        <v>267</v>
      </c>
      <c r="E1" t="s">
        <v>268</v>
      </c>
      <c r="F1" t="s">
        <v>269</v>
      </c>
      <c r="G1" t="s">
        <v>270</v>
      </c>
      <c r="H1" t="s">
        <v>271</v>
      </c>
      <c r="I1" t="s">
        <v>272</v>
      </c>
      <c r="J1" t="s">
        <v>273</v>
      </c>
    </row>
    <row r="2" spans="1:11" x14ac:dyDescent="0.45">
      <c r="A2" s="6" t="s">
        <v>45</v>
      </c>
      <c r="B2">
        <v>105.01</v>
      </c>
      <c r="C2">
        <f>B2</f>
        <v>105.01</v>
      </c>
      <c r="D2" s="9">
        <f>3.3*10^-5</f>
        <v>3.3000000000000003E-5</v>
      </c>
      <c r="E2" s="8">
        <f>C2*D2</f>
        <v>3.4653300000000004E-3</v>
      </c>
      <c r="F2" s="8">
        <f>E2*0.947817</f>
        <v>3.2844986846100005E-3</v>
      </c>
      <c r="G2" s="8">
        <f>E2*100000</f>
        <v>346.53300000000002</v>
      </c>
      <c r="H2" s="23">
        <f>ROUND(G2/settings!$B$7, 2)</f>
        <v>41.5</v>
      </c>
      <c r="I2" t="s">
        <v>274</v>
      </c>
      <c r="J2" s="5" t="s">
        <v>275</v>
      </c>
    </row>
    <row r="3" spans="1:11" x14ac:dyDescent="0.45">
      <c r="A3" s="7" t="s">
        <v>50</v>
      </c>
      <c r="B3">
        <v>101.23</v>
      </c>
      <c r="C3">
        <f>B3</f>
        <v>101.23</v>
      </c>
      <c r="D3" s="9">
        <f>2.95*10^-5</f>
        <v>2.9500000000000006E-5</v>
      </c>
      <c r="E3" s="8">
        <f t="shared" ref="E3:E9" si="0">C3*D3</f>
        <v>2.9862850000000008E-3</v>
      </c>
      <c r="F3" s="8">
        <f t="shared" ref="F3:F9" si="1">E3*0.947817</f>
        <v>2.8304516898450009E-3</v>
      </c>
      <c r="G3" s="8">
        <f t="shared" ref="G3:G9" si="2">E3*100000</f>
        <v>298.62850000000009</v>
      </c>
      <c r="H3" s="23">
        <f>ROUND(G3/settings!$B$7, 2)</f>
        <v>35.76</v>
      </c>
      <c r="I3" t="s">
        <v>274</v>
      </c>
      <c r="J3" s="5" t="s">
        <v>276</v>
      </c>
    </row>
    <row r="4" spans="1:11" x14ac:dyDescent="0.45">
      <c r="A4" s="6" t="s">
        <v>52</v>
      </c>
      <c r="B4">
        <f>B2</f>
        <v>105.01</v>
      </c>
      <c r="C4">
        <f>C2</f>
        <v>105.01</v>
      </c>
      <c r="D4" s="9">
        <f>5*10^-5</f>
        <v>5.0000000000000002E-5</v>
      </c>
      <c r="E4" s="8">
        <f t="shared" si="0"/>
        <v>5.2505000000000008E-3</v>
      </c>
      <c r="F4" s="8">
        <f t="shared" si="1"/>
        <v>4.9765131585000006E-3</v>
      </c>
      <c r="G4" s="8">
        <f t="shared" si="2"/>
        <v>525.05000000000007</v>
      </c>
      <c r="H4" s="23">
        <f>ROUND(G4/settings!$B$7, 2)</f>
        <v>62.88</v>
      </c>
      <c r="I4" t="s">
        <v>277</v>
      </c>
    </row>
    <row r="5" spans="1:11" x14ac:dyDescent="0.45">
      <c r="A5" s="7" t="s">
        <v>55</v>
      </c>
      <c r="B5">
        <v>6.92</v>
      </c>
      <c r="C5">
        <f>B5</f>
        <v>6.92</v>
      </c>
      <c r="D5" s="9">
        <f>1/3412</f>
        <v>2.9308323563892143E-4</v>
      </c>
      <c r="E5" s="8">
        <f t="shared" si="0"/>
        <v>2.0281359906213362E-3</v>
      </c>
      <c r="F5" s="8">
        <f t="shared" si="1"/>
        <v>1.922301770222743E-3</v>
      </c>
      <c r="G5" s="8">
        <f t="shared" si="2"/>
        <v>202.81359906213362</v>
      </c>
      <c r="H5" s="23">
        <f>ROUND(G5/settings!$B$7, 2)</f>
        <v>24.29</v>
      </c>
      <c r="I5" t="s">
        <v>278</v>
      </c>
      <c r="J5" s="5" t="s">
        <v>279</v>
      </c>
      <c r="K5" s="5" t="s">
        <v>280</v>
      </c>
    </row>
    <row r="6" spans="1:11" x14ac:dyDescent="0.45">
      <c r="A6" s="6" t="s">
        <v>58</v>
      </c>
      <c r="B6">
        <v>90</v>
      </c>
      <c r="C6">
        <f>B6</f>
        <v>90</v>
      </c>
      <c r="D6" s="9">
        <f>2.2*10^-5</f>
        <v>2.2000000000000003E-5</v>
      </c>
      <c r="E6" s="8">
        <f t="shared" si="0"/>
        <v>1.9800000000000004E-3</v>
      </c>
      <c r="F6" s="8">
        <f t="shared" si="1"/>
        <v>1.8766776600000004E-3</v>
      </c>
      <c r="G6" s="8">
        <f t="shared" si="2"/>
        <v>198.00000000000003</v>
      </c>
      <c r="H6" s="23">
        <f>ROUND(G6/settings!$B$7, 2)</f>
        <v>23.71</v>
      </c>
      <c r="I6" t="s">
        <v>281</v>
      </c>
      <c r="J6" s="5" t="s">
        <v>282</v>
      </c>
    </row>
    <row r="7" spans="1:11" x14ac:dyDescent="0.45">
      <c r="A7" s="7" t="s">
        <v>62</v>
      </c>
      <c r="B7">
        <v>57</v>
      </c>
      <c r="C7">
        <f>B7*1.07</f>
        <v>60.99</v>
      </c>
      <c r="D7" s="9">
        <f>4.5*10^-5</f>
        <v>4.5000000000000003E-5</v>
      </c>
      <c r="E7" s="8">
        <f t="shared" si="0"/>
        <v>2.7445500000000001E-3</v>
      </c>
      <c r="F7" s="8">
        <f t="shared" si="1"/>
        <v>2.60133114735E-3</v>
      </c>
      <c r="G7" s="8">
        <f t="shared" si="2"/>
        <v>274.45499999999998</v>
      </c>
      <c r="H7" s="23">
        <f>ROUND(G7/settings!$B$7, 2)</f>
        <v>32.869999999999997</v>
      </c>
      <c r="I7" t="s">
        <v>283</v>
      </c>
      <c r="J7" s="5" t="s">
        <v>284</v>
      </c>
    </row>
    <row r="8" spans="1:11" x14ac:dyDescent="0.45">
      <c r="A8" s="6" t="s">
        <v>65</v>
      </c>
      <c r="B8">
        <v>280</v>
      </c>
      <c r="C8">
        <f>B8</f>
        <v>280</v>
      </c>
      <c r="D8" s="9">
        <f>8.8*10^-6</f>
        <v>8.8000000000000004E-6</v>
      </c>
      <c r="E8" s="8">
        <f t="shared" si="0"/>
        <v>2.464E-3</v>
      </c>
      <c r="F8" s="8">
        <f t="shared" si="1"/>
        <v>2.3354210879999999E-3</v>
      </c>
      <c r="G8" s="8">
        <f t="shared" si="2"/>
        <v>246.4</v>
      </c>
      <c r="H8" s="27">
        <f>ROUND(G8/settings!$B$7, 2)</f>
        <v>29.51</v>
      </c>
      <c r="I8" t="s">
        <v>285</v>
      </c>
      <c r="J8" s="5" t="s">
        <v>286</v>
      </c>
    </row>
    <row r="9" spans="1:11" x14ac:dyDescent="0.45">
      <c r="A9" s="7" t="s">
        <v>69</v>
      </c>
      <c r="B9" s="24">
        <f>B2</f>
        <v>105.01</v>
      </c>
      <c r="C9" s="24">
        <f t="shared" ref="C9" si="3">C2</f>
        <v>105.01</v>
      </c>
      <c r="D9" s="25">
        <f>(0.1*D2)+(0.9*D4)</f>
        <v>4.8300000000000002E-5</v>
      </c>
      <c r="E9" s="26">
        <f t="shared" si="0"/>
        <v>5.0719830000000004E-3</v>
      </c>
      <c r="F9" s="26">
        <f t="shared" si="1"/>
        <v>4.8073117111110007E-3</v>
      </c>
      <c r="G9" s="26">
        <f t="shared" si="2"/>
        <v>507.19830000000002</v>
      </c>
      <c r="H9" s="27">
        <f>ROUND(G9/settings!$B$7, 2)</f>
        <v>60.74</v>
      </c>
    </row>
  </sheetData>
  <hyperlinks>
    <hyperlink ref="J2" r:id="rId1" xr:uid="{7C503442-782C-49ED-9E77-01FD88637B49}"/>
    <hyperlink ref="J3" r:id="rId2" xr:uid="{C05A3C31-B586-4546-8191-A55894DAD911}"/>
    <hyperlink ref="J6" r:id="rId3" xr:uid="{8CD32C5E-EAD1-4EE6-80D2-39D0D0C50A01}"/>
    <hyperlink ref="J7" r:id="rId4" xr:uid="{2FCEB6A3-5D17-4D4E-B9B1-8C1936DBE726}"/>
    <hyperlink ref="J5" r:id="rId5" xr:uid="{E68E2452-88CC-4912-97E0-320BA48A8E8D}"/>
    <hyperlink ref="K5" r:id="rId6" xr:uid="{31202DF0-CC57-4595-BB16-7F149403215E}"/>
    <hyperlink ref="J8" r:id="rId7" xr:uid="{1383F929-7253-43FC-AC8B-5A94F2FA67D6}"/>
  </hyperlinks>
  <pageMargins left="0.7" right="0.7" top="0.75" bottom="0.75" header="0.3" footer="0.3"/>
  <legacy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
  <sheetViews>
    <sheetView workbookViewId="0">
      <selection activeCell="L13" sqref="L13"/>
    </sheetView>
  </sheetViews>
  <sheetFormatPr defaultColWidth="10.73046875" defaultRowHeight="14.25" x14ac:dyDescent="0.45"/>
  <cols>
    <col min="1" max="1" width="19.265625" bestFit="1" customWidth="1"/>
    <col min="2" max="2" width="14.73046875" bestFit="1" customWidth="1"/>
    <col min="3" max="3" width="9.1328125" bestFit="1" customWidth="1"/>
    <col min="4" max="9" width="8.86328125" bestFit="1" customWidth="1"/>
    <col min="10" max="10" width="9.86328125" bestFit="1" customWidth="1"/>
    <col min="11" max="11" width="9.73046875" customWidth="1"/>
    <col min="12" max="12" width="69.73046875" customWidth="1"/>
  </cols>
  <sheetData>
    <row r="1" spans="1:12" x14ac:dyDescent="0.45">
      <c r="A1" s="2" t="s">
        <v>37</v>
      </c>
      <c r="B1" s="2" t="s">
        <v>165</v>
      </c>
      <c r="C1" s="2" t="s">
        <v>166</v>
      </c>
      <c r="D1" s="2" t="s">
        <v>167</v>
      </c>
      <c r="E1" s="2" t="s">
        <v>168</v>
      </c>
      <c r="F1" s="2" t="s">
        <v>169</v>
      </c>
      <c r="G1" s="2" t="s">
        <v>170</v>
      </c>
      <c r="H1" s="2" t="s">
        <v>171</v>
      </c>
      <c r="I1" s="2" t="s">
        <v>172</v>
      </c>
      <c r="J1" s="2" t="s">
        <v>287</v>
      </c>
      <c r="K1" s="2" t="s">
        <v>9</v>
      </c>
      <c r="L1" s="2" t="s">
        <v>2</v>
      </c>
    </row>
    <row r="2" spans="1:12" x14ac:dyDescent="0.45">
      <c r="A2" t="s">
        <v>288</v>
      </c>
      <c r="B2" t="s">
        <v>86</v>
      </c>
      <c r="D2">
        <v>10</v>
      </c>
      <c r="K2" t="s">
        <v>289</v>
      </c>
      <c r="L2" t="s">
        <v>290</v>
      </c>
    </row>
    <row r="3" spans="1:12" x14ac:dyDescent="0.45">
      <c r="A3" t="s">
        <v>291</v>
      </c>
      <c r="B3" t="s">
        <v>90</v>
      </c>
      <c r="D3">
        <v>15</v>
      </c>
      <c r="K3" t="s">
        <v>289</v>
      </c>
      <c r="L3" t="s">
        <v>290</v>
      </c>
    </row>
    <row r="4" spans="1:12" x14ac:dyDescent="0.45">
      <c r="A4" t="s">
        <v>292</v>
      </c>
      <c r="B4" t="s">
        <v>92</v>
      </c>
      <c r="D4">
        <v>12</v>
      </c>
      <c r="K4" t="s">
        <v>289</v>
      </c>
      <c r="L4" t="s">
        <v>290</v>
      </c>
    </row>
    <row r="5" spans="1:12" x14ac:dyDescent="0.45">
      <c r="A5" t="s">
        <v>293</v>
      </c>
      <c r="B5" t="s">
        <v>94</v>
      </c>
      <c r="D5">
        <v>20</v>
      </c>
      <c r="K5" t="s">
        <v>294</v>
      </c>
      <c r="L5" t="s">
        <v>290</v>
      </c>
    </row>
  </sheetData>
  <pageMargins left="0.7" right="0.7" top="0.75" bottom="0.75" header="0.3" footer="0.3"/>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
  <sheetViews>
    <sheetView topLeftCell="C1" workbookViewId="0">
      <selection activeCell="H28" sqref="H28"/>
    </sheetView>
  </sheetViews>
  <sheetFormatPr defaultColWidth="10.73046875" defaultRowHeight="14.25" x14ac:dyDescent="0.45"/>
  <cols>
    <col min="1" max="1" width="17.73046875" customWidth="1"/>
    <col min="2" max="2" width="81.73046875" customWidth="1"/>
    <col min="3" max="4" width="10.73046875" customWidth="1"/>
    <col min="5" max="5" width="12.73046875" customWidth="1"/>
    <col min="6" max="6" width="11.73046875" customWidth="1"/>
    <col min="7" max="7" width="7.73046875" customWidth="1"/>
    <col min="8" max="8" width="5.73046875" customWidth="1"/>
    <col min="9" max="9" width="12.73046875" customWidth="1"/>
    <col min="10" max="10" width="10.73046875" customWidth="1"/>
    <col min="11" max="11" width="5.73046875" customWidth="1"/>
    <col min="12" max="12" width="8.73046875" customWidth="1"/>
    <col min="13" max="13" width="11.73046875" customWidth="1"/>
    <col min="14" max="14" width="15.73046875" customWidth="1"/>
    <col min="15" max="15" width="79.73046875" customWidth="1"/>
  </cols>
  <sheetData>
    <row r="1" spans="1:15" x14ac:dyDescent="0.45">
      <c r="A1" s="1" t="s">
        <v>37</v>
      </c>
      <c r="B1" s="1" t="s">
        <v>38</v>
      </c>
      <c r="C1" s="1" t="s">
        <v>295</v>
      </c>
      <c r="D1" s="1" t="s">
        <v>296</v>
      </c>
      <c r="E1" s="1" t="s">
        <v>297</v>
      </c>
      <c r="F1" s="1" t="s">
        <v>298</v>
      </c>
      <c r="G1" s="1" t="s">
        <v>299</v>
      </c>
      <c r="H1" s="1" t="s">
        <v>300</v>
      </c>
      <c r="I1" s="1" t="s">
        <v>301</v>
      </c>
      <c r="J1" s="1" t="s">
        <v>302</v>
      </c>
      <c r="K1" s="1" t="s">
        <v>303</v>
      </c>
      <c r="L1" s="1" t="s">
        <v>304</v>
      </c>
      <c r="M1" s="1" t="s">
        <v>305</v>
      </c>
      <c r="N1" s="1" t="s">
        <v>306</v>
      </c>
      <c r="O1" s="1" t="s">
        <v>2</v>
      </c>
    </row>
    <row r="2" spans="1:15" x14ac:dyDescent="0.45">
      <c r="A2" t="s">
        <v>307</v>
      </c>
      <c r="B2" t="s">
        <v>308</v>
      </c>
      <c r="C2" t="s">
        <v>158</v>
      </c>
      <c r="D2" t="s">
        <v>160</v>
      </c>
      <c r="E2" t="s">
        <v>86</v>
      </c>
      <c r="F2" t="s">
        <v>20</v>
      </c>
      <c r="G2">
        <v>1</v>
      </c>
      <c r="H2">
        <v>50</v>
      </c>
      <c r="I2">
        <v>20</v>
      </c>
      <c r="J2">
        <v>2</v>
      </c>
      <c r="K2">
        <v>10</v>
      </c>
      <c r="M2" t="s">
        <v>309</v>
      </c>
      <c r="N2">
        <v>1</v>
      </c>
      <c r="O2" t="s">
        <v>310</v>
      </c>
    </row>
    <row r="3" spans="1:15" x14ac:dyDescent="0.45">
      <c r="A3" t="s">
        <v>311</v>
      </c>
      <c r="B3" t="s">
        <v>312</v>
      </c>
      <c r="C3" t="s">
        <v>158</v>
      </c>
      <c r="D3" t="s">
        <v>160</v>
      </c>
      <c r="E3" t="s">
        <v>90</v>
      </c>
      <c r="F3" t="s">
        <v>20</v>
      </c>
      <c r="G3">
        <v>1</v>
      </c>
      <c r="H3">
        <v>50</v>
      </c>
      <c r="I3">
        <v>35</v>
      </c>
      <c r="J3">
        <v>3.5</v>
      </c>
      <c r="K3">
        <v>15</v>
      </c>
      <c r="L3">
        <v>0.01</v>
      </c>
      <c r="M3" t="s">
        <v>58</v>
      </c>
      <c r="N3">
        <v>1</v>
      </c>
      <c r="O3" t="s">
        <v>313</v>
      </c>
    </row>
    <row r="4" spans="1:15" x14ac:dyDescent="0.45">
      <c r="A4" t="s">
        <v>314</v>
      </c>
      <c r="B4" t="s">
        <v>315</v>
      </c>
      <c r="C4" t="s">
        <v>158</v>
      </c>
      <c r="D4" t="s">
        <v>160</v>
      </c>
      <c r="E4" t="s">
        <v>92</v>
      </c>
      <c r="F4" t="s">
        <v>20</v>
      </c>
      <c r="G4">
        <v>1</v>
      </c>
      <c r="H4">
        <v>50</v>
      </c>
      <c r="I4">
        <v>28</v>
      </c>
      <c r="J4">
        <v>2.8</v>
      </c>
      <c r="K4">
        <v>12</v>
      </c>
      <c r="M4" t="s">
        <v>62</v>
      </c>
      <c r="N4">
        <v>1</v>
      </c>
      <c r="O4" t="s">
        <v>316</v>
      </c>
    </row>
    <row r="5" spans="1:15" x14ac:dyDescent="0.45">
      <c r="A5" t="s">
        <v>317</v>
      </c>
      <c r="B5" t="s">
        <v>318</v>
      </c>
      <c r="C5" t="s">
        <v>158</v>
      </c>
      <c r="D5" t="s">
        <v>160</v>
      </c>
      <c r="E5" t="s">
        <v>94</v>
      </c>
      <c r="F5" t="s">
        <v>96</v>
      </c>
      <c r="G5">
        <v>1</v>
      </c>
      <c r="H5">
        <v>50</v>
      </c>
      <c r="I5">
        <v>30</v>
      </c>
      <c r="J5">
        <v>3</v>
      </c>
      <c r="K5">
        <v>5</v>
      </c>
      <c r="M5" t="s">
        <v>55</v>
      </c>
      <c r="N5">
        <v>277.77999999999997</v>
      </c>
      <c r="O5" t="s">
        <v>319</v>
      </c>
    </row>
  </sheetData>
  <pageMargins left="0.7" right="0.7" top="0.75" bottom="0.75" header="0.3" footer="0.3"/>
  <pageSetup paperSize="9"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45"/>
  <sheetViews>
    <sheetView topLeftCell="M1" workbookViewId="0">
      <selection activeCell="Z1" sqref="Z1"/>
    </sheetView>
  </sheetViews>
  <sheetFormatPr defaultColWidth="10.73046875" defaultRowHeight="14.25" x14ac:dyDescent="0.45"/>
  <cols>
    <col min="1" max="1" width="13.3984375" customWidth="1"/>
    <col min="2" max="2" width="50.73046875" customWidth="1"/>
    <col min="3" max="3" width="9.73046875" customWidth="1"/>
    <col min="4" max="4" width="12.73046875" customWidth="1"/>
    <col min="5" max="5" width="10.73046875" customWidth="1"/>
    <col min="6" max="6" width="14.73046875" customWidth="1"/>
    <col min="7" max="8" width="9.73046875" customWidth="1"/>
    <col min="9" max="9" width="8.73046875" customWidth="1"/>
    <col min="10" max="10" width="9.73046875" customWidth="1"/>
    <col min="11" max="11" width="14.73046875" customWidth="1"/>
    <col min="12" max="13" width="20.73046875" customWidth="1"/>
    <col min="14" max="15" width="12.73046875" customWidth="1"/>
    <col min="16" max="16" width="5.73046875" customWidth="1"/>
    <col min="17" max="17" width="6.73046875" customWidth="1"/>
    <col min="18" max="23" width="12.73046875" customWidth="1"/>
    <col min="24" max="29" width="10.73046875" customWidth="1"/>
    <col min="30" max="30" width="15.73046875" customWidth="1"/>
    <col min="31" max="32" width="11.73046875" customWidth="1"/>
    <col min="33" max="33" width="10.73046875" customWidth="1"/>
  </cols>
  <sheetData>
    <row r="1" spans="1:33" x14ac:dyDescent="0.45">
      <c r="A1" s="2" t="s">
        <v>37</v>
      </c>
      <c r="B1" s="2" t="s">
        <v>38</v>
      </c>
      <c r="C1" s="2" t="s">
        <v>320</v>
      </c>
      <c r="D1" s="2" t="s">
        <v>321</v>
      </c>
      <c r="E1" s="2" t="s">
        <v>322</v>
      </c>
      <c r="F1" s="2" t="s">
        <v>323</v>
      </c>
      <c r="G1" s="2" t="s">
        <v>324</v>
      </c>
      <c r="H1" s="2" t="s">
        <v>325</v>
      </c>
      <c r="I1" s="2" t="s">
        <v>326</v>
      </c>
      <c r="J1" s="2" t="s">
        <v>327</v>
      </c>
      <c r="K1" s="2" t="s">
        <v>328</v>
      </c>
      <c r="L1" s="2" t="s">
        <v>329</v>
      </c>
      <c r="M1" s="2" t="s">
        <v>330</v>
      </c>
      <c r="N1" s="2" t="s">
        <v>331</v>
      </c>
      <c r="O1" s="2" t="s">
        <v>332</v>
      </c>
      <c r="P1" s="2" t="s">
        <v>300</v>
      </c>
      <c r="Q1" s="2" t="s">
        <v>166</v>
      </c>
      <c r="R1" s="2" t="s">
        <v>301</v>
      </c>
      <c r="S1" s="2" t="s">
        <v>333</v>
      </c>
      <c r="T1" s="2" t="s">
        <v>334</v>
      </c>
      <c r="U1" s="2" t="s">
        <v>335</v>
      </c>
      <c r="V1" s="2" t="s">
        <v>336</v>
      </c>
      <c r="W1" s="2" t="s">
        <v>337</v>
      </c>
      <c r="X1" s="2" t="s">
        <v>302</v>
      </c>
      <c r="Y1" s="2" t="s">
        <v>338</v>
      </c>
      <c r="Z1" s="2" t="s">
        <v>339</v>
      </c>
      <c r="AA1" s="2" t="s">
        <v>340</v>
      </c>
      <c r="AB1" s="2" t="s">
        <v>341</v>
      </c>
      <c r="AC1" s="2" t="s">
        <v>342</v>
      </c>
      <c r="AD1" s="2" t="s">
        <v>43</v>
      </c>
      <c r="AE1" s="2" t="s">
        <v>343</v>
      </c>
      <c r="AF1" s="2" t="s">
        <v>344</v>
      </c>
      <c r="AG1" s="2" t="s">
        <v>345</v>
      </c>
    </row>
    <row r="2" spans="1:33" x14ac:dyDescent="0.45">
      <c r="A2" t="s">
        <v>346</v>
      </c>
      <c r="B2" t="s">
        <v>347</v>
      </c>
      <c r="C2" t="s">
        <v>45</v>
      </c>
      <c r="D2" t="s">
        <v>45</v>
      </c>
      <c r="G2">
        <v>4.3</v>
      </c>
      <c r="H2">
        <v>5.82</v>
      </c>
      <c r="I2" t="s">
        <v>348</v>
      </c>
      <c r="J2">
        <v>12100</v>
      </c>
      <c r="K2">
        <v>1000</v>
      </c>
      <c r="L2">
        <v>2.0299999999999998</v>
      </c>
      <c r="M2">
        <v>2.0299999999999998</v>
      </c>
      <c r="N2">
        <v>0.4</v>
      </c>
      <c r="O2">
        <v>0.8</v>
      </c>
      <c r="P2">
        <v>16</v>
      </c>
      <c r="R2">
        <v>8414</v>
      </c>
      <c r="S2">
        <v>8414</v>
      </c>
      <c r="T2">
        <v>8414</v>
      </c>
      <c r="U2">
        <v>8414</v>
      </c>
      <c r="V2">
        <v>8414</v>
      </c>
      <c r="W2">
        <v>8414</v>
      </c>
      <c r="X2">
        <v>25</v>
      </c>
      <c r="Y2">
        <v>25</v>
      </c>
      <c r="Z2">
        <v>25</v>
      </c>
      <c r="AA2">
        <v>25</v>
      </c>
      <c r="AB2">
        <v>25</v>
      </c>
      <c r="AC2">
        <v>25</v>
      </c>
      <c r="AD2" t="s">
        <v>76</v>
      </c>
      <c r="AE2" t="s">
        <v>72</v>
      </c>
      <c r="AF2" t="s">
        <v>77</v>
      </c>
      <c r="AG2" t="s">
        <v>349</v>
      </c>
    </row>
    <row r="3" spans="1:33" x14ac:dyDescent="0.45">
      <c r="A3" t="s">
        <v>350</v>
      </c>
      <c r="B3" t="s">
        <v>351</v>
      </c>
      <c r="C3" t="s">
        <v>50</v>
      </c>
      <c r="D3" t="s">
        <v>50</v>
      </c>
      <c r="G3">
        <v>3.95</v>
      </c>
      <c r="H3">
        <v>5.35</v>
      </c>
      <c r="I3" t="s">
        <v>348</v>
      </c>
      <c r="J3">
        <v>12100</v>
      </c>
      <c r="K3">
        <v>1000</v>
      </c>
      <c r="L3">
        <v>2.0299999999999998</v>
      </c>
      <c r="M3">
        <v>2.0299999999999998</v>
      </c>
      <c r="N3">
        <v>0.4</v>
      </c>
      <c r="O3">
        <v>0.8</v>
      </c>
      <c r="P3">
        <v>16</v>
      </c>
      <c r="R3">
        <v>11171</v>
      </c>
      <c r="S3">
        <v>11171</v>
      </c>
      <c r="T3">
        <v>11171</v>
      </c>
      <c r="U3">
        <v>11171</v>
      </c>
      <c r="V3">
        <v>11171</v>
      </c>
      <c r="W3">
        <v>11171</v>
      </c>
      <c r="X3">
        <v>25</v>
      </c>
      <c r="Y3">
        <v>25</v>
      </c>
      <c r="Z3">
        <v>25</v>
      </c>
      <c r="AA3">
        <v>25</v>
      </c>
      <c r="AB3">
        <v>25</v>
      </c>
      <c r="AC3">
        <v>25</v>
      </c>
      <c r="AD3" t="s">
        <v>76</v>
      </c>
      <c r="AE3" t="s">
        <v>72</v>
      </c>
      <c r="AF3" t="s">
        <v>77</v>
      </c>
      <c r="AG3" t="s">
        <v>349</v>
      </c>
    </row>
    <row r="4" spans="1:33" x14ac:dyDescent="0.45">
      <c r="A4" t="s">
        <v>352</v>
      </c>
      <c r="B4" t="s">
        <v>353</v>
      </c>
      <c r="C4" t="s">
        <v>354</v>
      </c>
      <c r="D4" t="s">
        <v>45</v>
      </c>
      <c r="E4" t="s">
        <v>52</v>
      </c>
      <c r="F4">
        <v>0.1</v>
      </c>
      <c r="G4">
        <v>4.3</v>
      </c>
      <c r="H4">
        <v>5.82</v>
      </c>
      <c r="I4" t="s">
        <v>348</v>
      </c>
      <c r="J4">
        <v>12100</v>
      </c>
      <c r="K4">
        <v>1000</v>
      </c>
      <c r="L4">
        <v>2.0299999999999998</v>
      </c>
      <c r="M4">
        <v>2.0299999999999998</v>
      </c>
      <c r="N4">
        <v>0.4</v>
      </c>
      <c r="O4">
        <v>0.8</v>
      </c>
      <c r="P4">
        <v>16</v>
      </c>
      <c r="R4">
        <v>8414</v>
      </c>
      <c r="S4">
        <v>8414</v>
      </c>
      <c r="T4">
        <v>8414</v>
      </c>
      <c r="U4">
        <v>8414</v>
      </c>
      <c r="V4">
        <v>8414</v>
      </c>
      <c r="W4">
        <v>8414</v>
      </c>
      <c r="X4">
        <v>25</v>
      </c>
      <c r="Y4">
        <v>25</v>
      </c>
      <c r="Z4">
        <v>25</v>
      </c>
      <c r="AA4">
        <v>25</v>
      </c>
      <c r="AB4">
        <v>25</v>
      </c>
      <c r="AC4">
        <v>25</v>
      </c>
      <c r="AD4" t="s">
        <v>76</v>
      </c>
      <c r="AE4" t="s">
        <v>72</v>
      </c>
      <c r="AF4" t="s">
        <v>77</v>
      </c>
      <c r="AG4" t="s">
        <v>349</v>
      </c>
    </row>
    <row r="5" spans="1:33" x14ac:dyDescent="0.45">
      <c r="A5" t="s">
        <v>355</v>
      </c>
      <c r="B5" t="s">
        <v>356</v>
      </c>
      <c r="C5" t="s">
        <v>354</v>
      </c>
      <c r="D5" t="s">
        <v>52</v>
      </c>
      <c r="E5" t="s">
        <v>45</v>
      </c>
      <c r="F5">
        <v>0.15</v>
      </c>
      <c r="G5">
        <v>4.3</v>
      </c>
      <c r="H5">
        <v>5.82</v>
      </c>
      <c r="I5" t="s">
        <v>348</v>
      </c>
      <c r="J5">
        <v>12100</v>
      </c>
      <c r="K5">
        <v>1000</v>
      </c>
      <c r="L5">
        <v>2.0299999999999998</v>
      </c>
      <c r="M5">
        <v>2.0299999999999998</v>
      </c>
      <c r="N5">
        <v>0.4</v>
      </c>
      <c r="O5">
        <v>0.8</v>
      </c>
      <c r="P5">
        <v>16</v>
      </c>
      <c r="R5">
        <v>8414</v>
      </c>
      <c r="S5">
        <v>8414</v>
      </c>
      <c r="T5">
        <v>8414</v>
      </c>
      <c r="U5">
        <v>8414</v>
      </c>
      <c r="V5">
        <v>8414</v>
      </c>
      <c r="W5">
        <v>8414</v>
      </c>
      <c r="X5">
        <v>25</v>
      </c>
      <c r="Y5">
        <v>25</v>
      </c>
      <c r="Z5">
        <v>25</v>
      </c>
      <c r="AA5">
        <v>25</v>
      </c>
      <c r="AB5">
        <v>25</v>
      </c>
      <c r="AC5">
        <v>25</v>
      </c>
      <c r="AD5" t="s">
        <v>76</v>
      </c>
      <c r="AE5" t="s">
        <v>72</v>
      </c>
      <c r="AF5" t="s">
        <v>77</v>
      </c>
      <c r="AG5" t="s">
        <v>349</v>
      </c>
    </row>
    <row r="6" spans="1:33" x14ac:dyDescent="0.45">
      <c r="A6" t="s">
        <v>357</v>
      </c>
      <c r="B6" t="s">
        <v>358</v>
      </c>
      <c r="C6" t="s">
        <v>52</v>
      </c>
      <c r="D6" t="s">
        <v>52</v>
      </c>
      <c r="G6">
        <v>4.3</v>
      </c>
      <c r="H6">
        <v>5.82</v>
      </c>
      <c r="I6" t="s">
        <v>348</v>
      </c>
      <c r="J6">
        <v>12100</v>
      </c>
      <c r="K6">
        <v>1000</v>
      </c>
      <c r="L6">
        <v>2.0299999999999998</v>
      </c>
      <c r="M6">
        <v>2.0299999999999998</v>
      </c>
      <c r="N6">
        <v>0.4</v>
      </c>
      <c r="O6">
        <v>0.8</v>
      </c>
      <c r="P6">
        <v>16</v>
      </c>
      <c r="R6">
        <v>8414</v>
      </c>
      <c r="S6">
        <v>8414</v>
      </c>
      <c r="T6">
        <v>8414</v>
      </c>
      <c r="U6">
        <v>8414</v>
      </c>
      <c r="V6">
        <v>8414</v>
      </c>
      <c r="W6">
        <v>8414</v>
      </c>
      <c r="X6">
        <v>25</v>
      </c>
      <c r="Y6">
        <v>25</v>
      </c>
      <c r="Z6">
        <v>25</v>
      </c>
      <c r="AA6">
        <v>25</v>
      </c>
      <c r="AB6">
        <v>25</v>
      </c>
      <c r="AC6">
        <v>25</v>
      </c>
      <c r="AD6" t="s">
        <v>76</v>
      </c>
      <c r="AE6" t="s">
        <v>72</v>
      </c>
      <c r="AF6" t="s">
        <v>77</v>
      </c>
      <c r="AG6" t="s">
        <v>349</v>
      </c>
    </row>
    <row r="7" spans="1:33" x14ac:dyDescent="0.45">
      <c r="A7" t="s">
        <v>359</v>
      </c>
      <c r="B7" t="s">
        <v>360</v>
      </c>
      <c r="C7" t="s">
        <v>52</v>
      </c>
      <c r="D7" t="s">
        <v>52</v>
      </c>
      <c r="G7">
        <v>3.95</v>
      </c>
      <c r="H7">
        <v>5.35</v>
      </c>
      <c r="I7" t="s">
        <v>348</v>
      </c>
      <c r="J7">
        <v>12100</v>
      </c>
      <c r="K7">
        <v>1000</v>
      </c>
      <c r="L7">
        <v>2.0299999999999998</v>
      </c>
      <c r="M7">
        <v>2.0299999999999998</v>
      </c>
      <c r="N7">
        <v>0.4</v>
      </c>
      <c r="O7">
        <v>0.8</v>
      </c>
      <c r="P7">
        <v>16</v>
      </c>
      <c r="R7">
        <v>11171</v>
      </c>
      <c r="S7">
        <v>11171</v>
      </c>
      <c r="T7">
        <v>11171</v>
      </c>
      <c r="U7">
        <v>11171</v>
      </c>
      <c r="V7">
        <v>11171</v>
      </c>
      <c r="W7">
        <v>11171</v>
      </c>
      <c r="X7">
        <v>25</v>
      </c>
      <c r="Y7">
        <v>25</v>
      </c>
      <c r="Z7">
        <v>25</v>
      </c>
      <c r="AA7">
        <v>25</v>
      </c>
      <c r="AB7">
        <v>25</v>
      </c>
      <c r="AC7">
        <v>25</v>
      </c>
      <c r="AD7" t="s">
        <v>76</v>
      </c>
      <c r="AE7" t="s">
        <v>72</v>
      </c>
      <c r="AF7" t="s">
        <v>77</v>
      </c>
      <c r="AG7" t="s">
        <v>349</v>
      </c>
    </row>
    <row r="8" spans="1:33" x14ac:dyDescent="0.45">
      <c r="A8" t="s">
        <v>361</v>
      </c>
      <c r="B8" t="s">
        <v>362</v>
      </c>
      <c r="C8" t="s">
        <v>58</v>
      </c>
      <c r="D8" t="s">
        <v>58</v>
      </c>
      <c r="G8">
        <v>1.4139999999999999</v>
      </c>
      <c r="H8">
        <v>1.9139999999999999</v>
      </c>
      <c r="I8" t="s">
        <v>363</v>
      </c>
      <c r="J8">
        <v>12100</v>
      </c>
      <c r="K8">
        <v>1000</v>
      </c>
      <c r="L8">
        <v>2.0299999999999998</v>
      </c>
      <c r="M8">
        <v>2.0299999999999998</v>
      </c>
      <c r="N8">
        <v>0.4</v>
      </c>
      <c r="O8">
        <v>0.8</v>
      </c>
      <c r="P8">
        <v>16</v>
      </c>
      <c r="R8">
        <v>7677</v>
      </c>
      <c r="S8">
        <v>7677</v>
      </c>
      <c r="T8">
        <v>7677</v>
      </c>
      <c r="U8">
        <v>7677</v>
      </c>
      <c r="V8">
        <v>7677</v>
      </c>
      <c r="W8">
        <v>7677</v>
      </c>
      <c r="X8">
        <v>25</v>
      </c>
      <c r="Y8">
        <v>25</v>
      </c>
      <c r="Z8">
        <v>25</v>
      </c>
      <c r="AA8">
        <v>25</v>
      </c>
      <c r="AB8">
        <v>25</v>
      </c>
      <c r="AC8">
        <v>25</v>
      </c>
      <c r="AD8" t="s">
        <v>76</v>
      </c>
      <c r="AE8" t="s">
        <v>72</v>
      </c>
      <c r="AF8" t="s">
        <v>77</v>
      </c>
      <c r="AG8" t="s">
        <v>349</v>
      </c>
    </row>
    <row r="9" spans="1:33" x14ac:dyDescent="0.45">
      <c r="A9" t="s">
        <v>364</v>
      </c>
      <c r="B9" t="s">
        <v>365</v>
      </c>
      <c r="C9" t="s">
        <v>62</v>
      </c>
      <c r="D9" t="s">
        <v>62</v>
      </c>
      <c r="G9">
        <v>1.4139999999999999</v>
      </c>
      <c r="H9">
        <v>1.9139999999999999</v>
      </c>
      <c r="I9" t="s">
        <v>363</v>
      </c>
      <c r="J9">
        <v>12100</v>
      </c>
      <c r="K9">
        <v>1000</v>
      </c>
      <c r="L9">
        <v>2.0299999999999998</v>
      </c>
      <c r="M9">
        <v>2.0299999999999998</v>
      </c>
      <c r="N9">
        <v>0.4</v>
      </c>
      <c r="O9">
        <v>0.8</v>
      </c>
      <c r="P9">
        <v>16</v>
      </c>
      <c r="R9">
        <v>4889</v>
      </c>
      <c r="S9">
        <v>4889</v>
      </c>
      <c r="T9">
        <v>4889</v>
      </c>
      <c r="U9">
        <v>4889</v>
      </c>
      <c r="V9">
        <v>4889</v>
      </c>
      <c r="W9">
        <v>4889</v>
      </c>
      <c r="X9">
        <v>25</v>
      </c>
      <c r="Y9">
        <v>25</v>
      </c>
      <c r="Z9">
        <v>25</v>
      </c>
      <c r="AA9">
        <v>25</v>
      </c>
      <c r="AB9">
        <v>25</v>
      </c>
      <c r="AC9">
        <v>25</v>
      </c>
      <c r="AD9" t="s">
        <v>76</v>
      </c>
      <c r="AE9" t="s">
        <v>72</v>
      </c>
      <c r="AF9" t="s">
        <v>77</v>
      </c>
      <c r="AG9" t="s">
        <v>349</v>
      </c>
    </row>
    <row r="10" spans="1:33" x14ac:dyDescent="0.45">
      <c r="A10" t="s">
        <v>366</v>
      </c>
      <c r="B10" t="s">
        <v>367</v>
      </c>
      <c r="C10" t="s">
        <v>45</v>
      </c>
      <c r="D10" t="s">
        <v>45</v>
      </c>
      <c r="G10">
        <v>4.3</v>
      </c>
      <c r="H10">
        <v>5.82</v>
      </c>
      <c r="I10" t="s">
        <v>348</v>
      </c>
      <c r="J10">
        <v>12100</v>
      </c>
      <c r="K10">
        <v>1000</v>
      </c>
      <c r="L10">
        <v>2.0299999999999998</v>
      </c>
      <c r="M10">
        <v>2.0299999999999998</v>
      </c>
      <c r="N10">
        <v>0.4</v>
      </c>
      <c r="O10">
        <v>0.8</v>
      </c>
      <c r="P10">
        <v>16</v>
      </c>
      <c r="R10">
        <v>8414</v>
      </c>
      <c r="S10">
        <v>8414</v>
      </c>
      <c r="T10">
        <v>8414</v>
      </c>
      <c r="U10">
        <v>8414</v>
      </c>
      <c r="V10">
        <v>8414</v>
      </c>
      <c r="W10">
        <v>8414</v>
      </c>
      <c r="X10">
        <v>25</v>
      </c>
      <c r="Y10">
        <v>25</v>
      </c>
      <c r="Z10">
        <v>25</v>
      </c>
      <c r="AA10">
        <v>25</v>
      </c>
      <c r="AB10">
        <v>25</v>
      </c>
      <c r="AC10">
        <v>25</v>
      </c>
      <c r="AD10" t="s">
        <v>76</v>
      </c>
      <c r="AE10" t="s">
        <v>72</v>
      </c>
      <c r="AF10" t="s">
        <v>77</v>
      </c>
      <c r="AG10" t="s">
        <v>349</v>
      </c>
    </row>
    <row r="11" spans="1:33" x14ac:dyDescent="0.45">
      <c r="A11" t="s">
        <v>368</v>
      </c>
      <c r="B11" t="s">
        <v>369</v>
      </c>
      <c r="C11" t="s">
        <v>370</v>
      </c>
      <c r="D11" t="s">
        <v>45</v>
      </c>
      <c r="G11">
        <v>2.67</v>
      </c>
      <c r="H11">
        <v>3.61</v>
      </c>
      <c r="I11" t="s">
        <v>348</v>
      </c>
      <c r="J11">
        <v>12100</v>
      </c>
      <c r="K11">
        <v>1000</v>
      </c>
      <c r="L11">
        <v>2.0299999999999998</v>
      </c>
      <c r="M11">
        <v>2.0299999999999998</v>
      </c>
      <c r="N11">
        <v>0.4</v>
      </c>
      <c r="O11">
        <v>0.8</v>
      </c>
      <c r="P11">
        <v>16</v>
      </c>
      <c r="R11">
        <v>85108</v>
      </c>
      <c r="S11">
        <v>85108</v>
      </c>
      <c r="T11">
        <v>85108</v>
      </c>
      <c r="U11">
        <v>85108</v>
      </c>
      <c r="V11">
        <v>85108</v>
      </c>
      <c r="W11">
        <v>85108</v>
      </c>
      <c r="X11">
        <v>25</v>
      </c>
      <c r="Y11">
        <v>25</v>
      </c>
      <c r="Z11">
        <v>25</v>
      </c>
      <c r="AA11">
        <v>25</v>
      </c>
      <c r="AB11">
        <v>25</v>
      </c>
      <c r="AC11">
        <v>25</v>
      </c>
      <c r="AD11" t="s">
        <v>76</v>
      </c>
      <c r="AE11" t="s">
        <v>72</v>
      </c>
      <c r="AF11" t="s">
        <v>77</v>
      </c>
      <c r="AG11" t="s">
        <v>349</v>
      </c>
    </row>
    <row r="12" spans="1:33" x14ac:dyDescent="0.45">
      <c r="A12" t="s">
        <v>371</v>
      </c>
      <c r="B12" t="s">
        <v>372</v>
      </c>
      <c r="C12" t="s">
        <v>55</v>
      </c>
      <c r="G12">
        <v>6.21</v>
      </c>
      <c r="H12">
        <v>7.59</v>
      </c>
      <c r="I12" t="s">
        <v>373</v>
      </c>
      <c r="J12">
        <v>12100</v>
      </c>
      <c r="K12">
        <v>1000</v>
      </c>
      <c r="L12">
        <v>2.0299999999999998</v>
      </c>
      <c r="M12">
        <v>2.0299999999999998</v>
      </c>
      <c r="N12">
        <v>0.4</v>
      </c>
      <c r="O12">
        <v>0.8</v>
      </c>
      <c r="P12">
        <v>16</v>
      </c>
      <c r="R12">
        <v>12098</v>
      </c>
      <c r="S12">
        <v>12098</v>
      </c>
      <c r="T12">
        <v>12098</v>
      </c>
      <c r="U12">
        <v>12098</v>
      </c>
      <c r="V12">
        <v>12098</v>
      </c>
      <c r="W12">
        <v>12098</v>
      </c>
      <c r="X12">
        <v>13</v>
      </c>
      <c r="Y12">
        <v>13</v>
      </c>
      <c r="Z12">
        <v>13</v>
      </c>
      <c r="AA12">
        <v>13</v>
      </c>
      <c r="AB12">
        <v>13</v>
      </c>
      <c r="AC12">
        <v>13</v>
      </c>
      <c r="AD12" t="s">
        <v>76</v>
      </c>
      <c r="AE12" t="s">
        <v>72</v>
      </c>
      <c r="AF12" t="s">
        <v>77</v>
      </c>
      <c r="AG12" t="s">
        <v>349</v>
      </c>
    </row>
    <row r="13" spans="1:33" x14ac:dyDescent="0.45">
      <c r="A13" t="s">
        <v>374</v>
      </c>
      <c r="B13" t="s">
        <v>375</v>
      </c>
      <c r="C13" t="s">
        <v>65</v>
      </c>
      <c r="G13">
        <v>0.86499999999999999</v>
      </c>
      <c r="H13">
        <v>1.171</v>
      </c>
      <c r="I13" t="s">
        <v>363</v>
      </c>
      <c r="J13">
        <v>12100</v>
      </c>
      <c r="K13">
        <v>1000</v>
      </c>
      <c r="L13">
        <v>2.0299999999999998</v>
      </c>
      <c r="M13">
        <v>2.0299999999999998</v>
      </c>
      <c r="N13">
        <v>0.4</v>
      </c>
      <c r="O13">
        <v>0.8</v>
      </c>
      <c r="P13">
        <v>16</v>
      </c>
      <c r="R13">
        <v>58916</v>
      </c>
      <c r="S13">
        <v>54715</v>
      </c>
      <c r="T13">
        <v>51322</v>
      </c>
      <c r="U13">
        <v>48453</v>
      </c>
      <c r="V13">
        <v>46196</v>
      </c>
      <c r="W13">
        <v>44402</v>
      </c>
      <c r="X13">
        <v>13</v>
      </c>
      <c r="Y13">
        <v>13</v>
      </c>
      <c r="Z13">
        <v>13</v>
      </c>
      <c r="AA13">
        <v>13</v>
      </c>
      <c r="AB13">
        <v>13</v>
      </c>
      <c r="AC13">
        <v>13</v>
      </c>
      <c r="AD13" t="s">
        <v>76</v>
      </c>
      <c r="AE13" t="s">
        <v>72</v>
      </c>
      <c r="AF13" t="s">
        <v>77</v>
      </c>
      <c r="AG13" t="s">
        <v>349</v>
      </c>
    </row>
    <row r="14" spans="1:33" x14ac:dyDescent="0.45">
      <c r="A14" t="s">
        <v>376</v>
      </c>
      <c r="B14" t="s">
        <v>377</v>
      </c>
      <c r="C14" t="s">
        <v>378</v>
      </c>
      <c r="D14" t="s">
        <v>50</v>
      </c>
      <c r="E14" t="s">
        <v>52</v>
      </c>
      <c r="F14">
        <v>0.2</v>
      </c>
      <c r="G14">
        <v>7.73</v>
      </c>
      <c r="H14">
        <v>10.46</v>
      </c>
      <c r="I14" t="s">
        <v>348</v>
      </c>
      <c r="J14">
        <v>30000</v>
      </c>
      <c r="K14">
        <v>1000</v>
      </c>
      <c r="L14">
        <v>1.7</v>
      </c>
      <c r="M14">
        <v>1.7</v>
      </c>
      <c r="N14">
        <v>0.6</v>
      </c>
      <c r="O14">
        <v>0.9</v>
      </c>
      <c r="P14">
        <v>10</v>
      </c>
      <c r="R14">
        <v>6890</v>
      </c>
      <c r="S14">
        <v>6890</v>
      </c>
      <c r="T14">
        <v>6890</v>
      </c>
      <c r="U14">
        <v>6890</v>
      </c>
      <c r="V14">
        <v>6890</v>
      </c>
      <c r="W14">
        <v>6890</v>
      </c>
      <c r="X14">
        <v>25</v>
      </c>
      <c r="Y14">
        <v>25</v>
      </c>
      <c r="Z14">
        <v>25</v>
      </c>
      <c r="AA14">
        <v>25</v>
      </c>
      <c r="AB14">
        <v>25</v>
      </c>
      <c r="AC14">
        <v>25</v>
      </c>
      <c r="AD14" t="s">
        <v>83</v>
      </c>
      <c r="AE14" t="s">
        <v>79</v>
      </c>
      <c r="AF14" t="s">
        <v>84</v>
      </c>
      <c r="AG14" t="s">
        <v>379</v>
      </c>
    </row>
    <row r="15" spans="1:33" x14ac:dyDescent="0.45">
      <c r="A15" t="s">
        <v>380</v>
      </c>
      <c r="B15" t="s">
        <v>381</v>
      </c>
      <c r="C15" t="s">
        <v>58</v>
      </c>
      <c r="D15" t="s">
        <v>58</v>
      </c>
      <c r="G15">
        <v>2.77</v>
      </c>
      <c r="H15">
        <v>3.7480000000000002</v>
      </c>
      <c r="I15" t="s">
        <v>363</v>
      </c>
      <c r="J15">
        <v>30000</v>
      </c>
      <c r="K15">
        <v>1000</v>
      </c>
      <c r="L15">
        <v>1.7</v>
      </c>
      <c r="M15">
        <v>1.7</v>
      </c>
      <c r="N15">
        <v>0.6</v>
      </c>
      <c r="O15">
        <v>0.9</v>
      </c>
      <c r="P15">
        <v>10</v>
      </c>
      <c r="R15">
        <v>8851</v>
      </c>
      <c r="S15">
        <v>8851</v>
      </c>
      <c r="T15">
        <v>8851</v>
      </c>
      <c r="U15">
        <v>8851</v>
      </c>
      <c r="V15">
        <v>8851</v>
      </c>
      <c r="W15">
        <v>8851</v>
      </c>
      <c r="X15">
        <v>25</v>
      </c>
      <c r="Y15">
        <v>25</v>
      </c>
      <c r="Z15">
        <v>25</v>
      </c>
      <c r="AA15">
        <v>25</v>
      </c>
      <c r="AB15">
        <v>25</v>
      </c>
      <c r="AC15">
        <v>25</v>
      </c>
      <c r="AD15" t="s">
        <v>83</v>
      </c>
      <c r="AE15" t="s">
        <v>79</v>
      </c>
      <c r="AF15" t="s">
        <v>84</v>
      </c>
      <c r="AG15" t="s">
        <v>379</v>
      </c>
    </row>
    <row r="16" spans="1:33" x14ac:dyDescent="0.45">
      <c r="A16" t="s">
        <v>382</v>
      </c>
      <c r="B16" t="s">
        <v>383</v>
      </c>
      <c r="C16" t="s">
        <v>55</v>
      </c>
      <c r="D16" t="s">
        <v>55</v>
      </c>
      <c r="G16">
        <v>3.17</v>
      </c>
      <c r="H16">
        <v>3.87</v>
      </c>
      <c r="I16" t="s">
        <v>373</v>
      </c>
      <c r="J16">
        <v>30000</v>
      </c>
      <c r="K16">
        <v>1000</v>
      </c>
      <c r="L16">
        <v>1.7</v>
      </c>
      <c r="M16">
        <v>1.7</v>
      </c>
      <c r="N16">
        <v>0.6</v>
      </c>
      <c r="O16">
        <v>0.9</v>
      </c>
      <c r="P16">
        <v>10</v>
      </c>
      <c r="R16">
        <v>9649</v>
      </c>
      <c r="S16">
        <v>9649</v>
      </c>
      <c r="T16">
        <v>9649</v>
      </c>
      <c r="U16">
        <v>9649</v>
      </c>
      <c r="V16">
        <v>9649</v>
      </c>
      <c r="W16">
        <v>9649</v>
      </c>
      <c r="X16">
        <v>13</v>
      </c>
      <c r="Y16">
        <v>13</v>
      </c>
      <c r="Z16">
        <v>13</v>
      </c>
      <c r="AA16">
        <v>13</v>
      </c>
      <c r="AB16">
        <v>13</v>
      </c>
      <c r="AC16">
        <v>13</v>
      </c>
      <c r="AD16" t="s">
        <v>83</v>
      </c>
      <c r="AE16" t="s">
        <v>79</v>
      </c>
      <c r="AF16" t="s">
        <v>84</v>
      </c>
      <c r="AG16" t="s">
        <v>379</v>
      </c>
    </row>
    <row r="17" spans="1:33" x14ac:dyDescent="0.45">
      <c r="A17" t="s">
        <v>384</v>
      </c>
      <c r="B17" t="s">
        <v>385</v>
      </c>
      <c r="C17" t="s">
        <v>378</v>
      </c>
      <c r="D17" t="s">
        <v>50</v>
      </c>
      <c r="E17" t="s">
        <v>52</v>
      </c>
      <c r="F17">
        <v>0.2</v>
      </c>
      <c r="G17">
        <v>13.29</v>
      </c>
      <c r="H17">
        <v>17.989999999999998</v>
      </c>
      <c r="I17" t="s">
        <v>348</v>
      </c>
      <c r="J17">
        <v>70000</v>
      </c>
      <c r="K17">
        <v>1000</v>
      </c>
      <c r="L17">
        <v>45</v>
      </c>
      <c r="M17">
        <v>45</v>
      </c>
      <c r="N17">
        <v>0.4</v>
      </c>
      <c r="O17">
        <v>0.9</v>
      </c>
      <c r="P17">
        <v>10</v>
      </c>
      <c r="R17">
        <v>35793</v>
      </c>
      <c r="S17">
        <v>35793</v>
      </c>
      <c r="T17">
        <v>35793</v>
      </c>
      <c r="U17">
        <v>35793</v>
      </c>
      <c r="V17">
        <v>35793</v>
      </c>
      <c r="W17">
        <v>35793</v>
      </c>
      <c r="X17">
        <v>96</v>
      </c>
      <c r="Y17">
        <v>96</v>
      </c>
      <c r="Z17">
        <v>96</v>
      </c>
      <c r="AA17">
        <v>96</v>
      </c>
      <c r="AB17">
        <v>96</v>
      </c>
      <c r="AC17">
        <v>96</v>
      </c>
      <c r="AD17" t="s">
        <v>101</v>
      </c>
      <c r="AE17" t="s">
        <v>98</v>
      </c>
      <c r="AF17" t="s">
        <v>102</v>
      </c>
      <c r="AG17" t="s">
        <v>349</v>
      </c>
    </row>
    <row r="18" spans="1:33" x14ac:dyDescent="0.45">
      <c r="A18" t="s">
        <v>386</v>
      </c>
      <c r="B18" t="s">
        <v>387</v>
      </c>
      <c r="C18" t="s">
        <v>58</v>
      </c>
      <c r="D18" t="s">
        <v>58</v>
      </c>
      <c r="G18">
        <v>4.758</v>
      </c>
      <c r="H18">
        <v>6.4379999999999997</v>
      </c>
      <c r="I18" t="s">
        <v>363</v>
      </c>
      <c r="J18">
        <v>70000</v>
      </c>
      <c r="K18">
        <v>1000</v>
      </c>
      <c r="L18">
        <v>45</v>
      </c>
      <c r="M18">
        <v>45</v>
      </c>
      <c r="N18">
        <v>0.4</v>
      </c>
      <c r="O18">
        <v>0.9</v>
      </c>
      <c r="P18">
        <v>10</v>
      </c>
      <c r="R18">
        <v>47163</v>
      </c>
      <c r="S18">
        <v>47163</v>
      </c>
      <c r="T18">
        <v>47163</v>
      </c>
      <c r="U18">
        <v>47163</v>
      </c>
      <c r="V18">
        <v>47163</v>
      </c>
      <c r="W18">
        <v>47163</v>
      </c>
      <c r="X18">
        <v>96</v>
      </c>
      <c r="Y18">
        <v>96</v>
      </c>
      <c r="Z18">
        <v>96</v>
      </c>
      <c r="AA18">
        <v>96</v>
      </c>
      <c r="AB18">
        <v>96</v>
      </c>
      <c r="AC18">
        <v>96</v>
      </c>
      <c r="AD18" t="s">
        <v>101</v>
      </c>
      <c r="AE18" t="s">
        <v>98</v>
      </c>
      <c r="AF18" t="s">
        <v>102</v>
      </c>
      <c r="AG18" t="s">
        <v>349</v>
      </c>
    </row>
    <row r="19" spans="1:33" x14ac:dyDescent="0.45">
      <c r="A19" t="s">
        <v>388</v>
      </c>
      <c r="B19" t="s">
        <v>389</v>
      </c>
      <c r="C19" t="s">
        <v>55</v>
      </c>
      <c r="D19" t="s">
        <v>55</v>
      </c>
      <c r="G19">
        <v>1.84</v>
      </c>
      <c r="H19">
        <v>2.2599999999999998</v>
      </c>
      <c r="I19" t="s">
        <v>373</v>
      </c>
      <c r="J19">
        <v>70000</v>
      </c>
      <c r="K19">
        <v>1000</v>
      </c>
      <c r="L19">
        <v>45</v>
      </c>
      <c r="M19">
        <v>45</v>
      </c>
      <c r="N19">
        <v>0.4</v>
      </c>
      <c r="O19">
        <v>0.9</v>
      </c>
      <c r="P19">
        <v>10</v>
      </c>
      <c r="R19">
        <v>216032</v>
      </c>
      <c r="S19">
        <v>216032</v>
      </c>
      <c r="T19">
        <v>216032</v>
      </c>
      <c r="U19">
        <v>216032</v>
      </c>
      <c r="V19">
        <v>216032</v>
      </c>
      <c r="W19">
        <v>216032</v>
      </c>
      <c r="X19">
        <v>76</v>
      </c>
      <c r="Y19">
        <v>76</v>
      </c>
      <c r="Z19">
        <v>76</v>
      </c>
      <c r="AA19">
        <v>76</v>
      </c>
      <c r="AB19">
        <v>76</v>
      </c>
      <c r="AC19">
        <v>76</v>
      </c>
      <c r="AD19" t="s">
        <v>101</v>
      </c>
      <c r="AE19" t="s">
        <v>98</v>
      </c>
      <c r="AF19" t="s">
        <v>102</v>
      </c>
      <c r="AG19" t="s">
        <v>349</v>
      </c>
    </row>
    <row r="20" spans="1:33" x14ac:dyDescent="0.45">
      <c r="A20" t="s">
        <v>390</v>
      </c>
      <c r="B20" t="s">
        <v>391</v>
      </c>
      <c r="C20" t="s">
        <v>378</v>
      </c>
      <c r="D20" t="s">
        <v>50</v>
      </c>
      <c r="E20" t="s">
        <v>52</v>
      </c>
      <c r="F20">
        <v>0.2</v>
      </c>
      <c r="G20">
        <v>18.05</v>
      </c>
      <c r="H20">
        <v>24.43</v>
      </c>
      <c r="I20" t="s">
        <v>348</v>
      </c>
      <c r="J20">
        <v>50000</v>
      </c>
      <c r="K20">
        <v>1000</v>
      </c>
      <c r="L20">
        <v>6.1</v>
      </c>
      <c r="M20">
        <v>6.1</v>
      </c>
      <c r="N20">
        <v>0.7</v>
      </c>
      <c r="O20">
        <v>0.9</v>
      </c>
      <c r="P20">
        <v>10</v>
      </c>
      <c r="R20">
        <v>18344</v>
      </c>
      <c r="S20">
        <v>18344</v>
      </c>
      <c r="T20">
        <v>18344</v>
      </c>
      <c r="U20">
        <v>18344</v>
      </c>
      <c r="V20">
        <v>18344</v>
      </c>
      <c r="W20">
        <v>18344</v>
      </c>
      <c r="X20">
        <v>582</v>
      </c>
      <c r="Y20">
        <v>582</v>
      </c>
      <c r="Z20">
        <v>582</v>
      </c>
      <c r="AA20">
        <v>582</v>
      </c>
      <c r="AB20">
        <v>582</v>
      </c>
      <c r="AC20">
        <v>582</v>
      </c>
      <c r="AD20" t="s">
        <v>107</v>
      </c>
      <c r="AE20" t="s">
        <v>104</v>
      </c>
      <c r="AF20" t="s">
        <v>108</v>
      </c>
      <c r="AG20" t="s">
        <v>379</v>
      </c>
    </row>
    <row r="21" spans="1:33" x14ac:dyDescent="0.45">
      <c r="A21" t="s">
        <v>392</v>
      </c>
      <c r="B21" t="s">
        <v>393</v>
      </c>
      <c r="C21" t="s">
        <v>58</v>
      </c>
      <c r="D21" t="s">
        <v>58</v>
      </c>
      <c r="G21">
        <v>6.4630000000000001</v>
      </c>
      <c r="H21">
        <v>8.7430000000000003</v>
      </c>
      <c r="I21" t="s">
        <v>363</v>
      </c>
      <c r="J21">
        <v>50000</v>
      </c>
      <c r="K21">
        <v>1000</v>
      </c>
      <c r="L21">
        <v>6.1</v>
      </c>
      <c r="M21">
        <v>6.1</v>
      </c>
      <c r="N21">
        <v>0.7</v>
      </c>
      <c r="O21">
        <v>0.9</v>
      </c>
      <c r="P21">
        <v>10</v>
      </c>
      <c r="R21">
        <v>17399</v>
      </c>
      <c r="S21">
        <v>17399</v>
      </c>
      <c r="T21">
        <v>17399</v>
      </c>
      <c r="U21">
        <v>17399</v>
      </c>
      <c r="V21">
        <v>17399</v>
      </c>
      <c r="W21">
        <v>17399</v>
      </c>
      <c r="X21">
        <v>582</v>
      </c>
      <c r="Y21">
        <v>582</v>
      </c>
      <c r="Z21">
        <v>582</v>
      </c>
      <c r="AA21">
        <v>582</v>
      </c>
      <c r="AB21">
        <v>582</v>
      </c>
      <c r="AC21">
        <v>582</v>
      </c>
      <c r="AD21" t="s">
        <v>107</v>
      </c>
      <c r="AE21" t="s">
        <v>104</v>
      </c>
      <c r="AF21" t="s">
        <v>108</v>
      </c>
      <c r="AG21" t="s">
        <v>379</v>
      </c>
    </row>
    <row r="22" spans="1:33" x14ac:dyDescent="0.45">
      <c r="A22" t="s">
        <v>394</v>
      </c>
      <c r="B22" t="s">
        <v>395</v>
      </c>
      <c r="C22" t="s">
        <v>55</v>
      </c>
      <c r="D22" t="s">
        <v>55</v>
      </c>
      <c r="G22">
        <v>1.36</v>
      </c>
      <c r="H22">
        <v>1.66</v>
      </c>
      <c r="I22" t="s">
        <v>373</v>
      </c>
      <c r="J22">
        <v>50000</v>
      </c>
      <c r="K22">
        <v>1000</v>
      </c>
      <c r="L22">
        <v>6.1</v>
      </c>
      <c r="M22">
        <v>6.1</v>
      </c>
      <c r="N22">
        <v>0.7</v>
      </c>
      <c r="O22">
        <v>0.9</v>
      </c>
      <c r="P22">
        <v>10</v>
      </c>
      <c r="R22">
        <v>82298</v>
      </c>
      <c r="S22">
        <v>82298</v>
      </c>
      <c r="T22">
        <v>82298</v>
      </c>
      <c r="U22">
        <v>82298</v>
      </c>
      <c r="V22">
        <v>82298</v>
      </c>
      <c r="W22">
        <v>82298</v>
      </c>
      <c r="X22">
        <v>457</v>
      </c>
      <c r="Y22">
        <v>457</v>
      </c>
      <c r="Z22">
        <v>457</v>
      </c>
      <c r="AA22">
        <v>457</v>
      </c>
      <c r="AB22">
        <v>457</v>
      </c>
      <c r="AC22">
        <v>457</v>
      </c>
      <c r="AD22" t="s">
        <v>107</v>
      </c>
      <c r="AE22" t="s">
        <v>104</v>
      </c>
      <c r="AF22" t="s">
        <v>108</v>
      </c>
      <c r="AG22" t="s">
        <v>379</v>
      </c>
    </row>
    <row r="23" spans="1:33" x14ac:dyDescent="0.45">
      <c r="A23" t="s">
        <v>396</v>
      </c>
      <c r="B23" t="s">
        <v>397</v>
      </c>
      <c r="C23" t="s">
        <v>50</v>
      </c>
      <c r="D23" t="s">
        <v>50</v>
      </c>
      <c r="G23">
        <v>566.02</v>
      </c>
      <c r="H23">
        <v>765.78</v>
      </c>
      <c r="I23" t="s">
        <v>348</v>
      </c>
      <c r="J23">
        <v>1106729</v>
      </c>
      <c r="K23">
        <v>1000</v>
      </c>
      <c r="L23">
        <v>180</v>
      </c>
      <c r="M23">
        <v>180</v>
      </c>
      <c r="N23">
        <v>0.85</v>
      </c>
      <c r="O23">
        <v>0.8</v>
      </c>
      <c r="P23">
        <v>20</v>
      </c>
      <c r="R23">
        <v>64833333</v>
      </c>
      <c r="S23">
        <v>64833333</v>
      </c>
      <c r="T23">
        <v>64833333</v>
      </c>
      <c r="U23">
        <v>64833333</v>
      </c>
      <c r="V23">
        <v>64833333</v>
      </c>
      <c r="W23">
        <v>64833333</v>
      </c>
      <c r="X23">
        <v>88399</v>
      </c>
      <c r="Y23">
        <v>88399</v>
      </c>
      <c r="Z23">
        <v>88399</v>
      </c>
      <c r="AA23">
        <v>88399</v>
      </c>
      <c r="AB23">
        <v>88399</v>
      </c>
      <c r="AC23">
        <v>88399</v>
      </c>
      <c r="AD23" t="s">
        <v>113</v>
      </c>
      <c r="AE23" t="s">
        <v>110</v>
      </c>
      <c r="AF23" t="s">
        <v>114</v>
      </c>
      <c r="AG23" t="s">
        <v>349</v>
      </c>
    </row>
    <row r="24" spans="1:33" x14ac:dyDescent="0.45">
      <c r="A24" t="s">
        <v>398</v>
      </c>
      <c r="B24" t="s">
        <v>399</v>
      </c>
      <c r="C24" t="s">
        <v>55</v>
      </c>
      <c r="D24" t="s">
        <v>55</v>
      </c>
      <c r="G24">
        <v>0.03</v>
      </c>
      <c r="H24">
        <v>0.03</v>
      </c>
      <c r="I24" t="s">
        <v>373</v>
      </c>
      <c r="J24">
        <v>1106729</v>
      </c>
      <c r="K24">
        <v>1000</v>
      </c>
      <c r="L24">
        <v>180</v>
      </c>
      <c r="M24">
        <v>180</v>
      </c>
      <c r="N24">
        <v>0.85</v>
      </c>
      <c r="O24">
        <v>0.8</v>
      </c>
      <c r="P24">
        <v>20</v>
      </c>
      <c r="R24">
        <v>391303098</v>
      </c>
      <c r="S24">
        <v>391303098</v>
      </c>
      <c r="T24">
        <v>391303098</v>
      </c>
      <c r="U24">
        <v>391303098</v>
      </c>
      <c r="V24">
        <v>391303098</v>
      </c>
      <c r="W24">
        <v>391303098</v>
      </c>
      <c r="X24">
        <v>0</v>
      </c>
      <c r="Y24">
        <v>0</v>
      </c>
      <c r="Z24">
        <v>0</v>
      </c>
      <c r="AA24">
        <v>0</v>
      </c>
      <c r="AB24">
        <v>0</v>
      </c>
      <c r="AC24">
        <v>0</v>
      </c>
      <c r="AD24" t="s">
        <v>113</v>
      </c>
      <c r="AE24" t="s">
        <v>110</v>
      </c>
      <c r="AF24" t="s">
        <v>114</v>
      </c>
      <c r="AG24" t="s">
        <v>349</v>
      </c>
    </row>
    <row r="25" spans="1:33" x14ac:dyDescent="0.45">
      <c r="A25" t="s">
        <v>400</v>
      </c>
      <c r="B25" t="s">
        <v>401</v>
      </c>
      <c r="C25" t="s">
        <v>65</v>
      </c>
      <c r="D25" t="s">
        <v>65</v>
      </c>
      <c r="G25">
        <v>81.025999999999996</v>
      </c>
      <c r="H25">
        <v>109.624</v>
      </c>
      <c r="I25" t="s">
        <v>363</v>
      </c>
      <c r="J25">
        <v>1106729</v>
      </c>
      <c r="K25">
        <v>1000</v>
      </c>
      <c r="L25">
        <v>180</v>
      </c>
      <c r="M25">
        <v>180</v>
      </c>
      <c r="N25">
        <v>0.85</v>
      </c>
      <c r="O25">
        <v>0.8</v>
      </c>
      <c r="P25">
        <v>20</v>
      </c>
      <c r="R25">
        <v>104999216</v>
      </c>
      <c r="S25">
        <v>97940564</v>
      </c>
      <c r="T25">
        <v>91917650</v>
      </c>
      <c r="U25">
        <v>86946207</v>
      </c>
      <c r="V25">
        <v>82736392</v>
      </c>
      <c r="W25">
        <v>79268162</v>
      </c>
      <c r="X25">
        <v>0</v>
      </c>
      <c r="Y25">
        <v>0</v>
      </c>
      <c r="Z25">
        <v>0</v>
      </c>
      <c r="AA25">
        <v>0</v>
      </c>
      <c r="AB25">
        <v>0</v>
      </c>
      <c r="AC25">
        <v>0</v>
      </c>
      <c r="AD25" t="s">
        <v>113</v>
      </c>
      <c r="AE25" t="s">
        <v>110</v>
      </c>
      <c r="AF25" t="s">
        <v>114</v>
      </c>
      <c r="AG25" t="s">
        <v>349</v>
      </c>
    </row>
    <row r="26" spans="1:33" x14ac:dyDescent="0.45">
      <c r="A26" t="s">
        <v>402</v>
      </c>
      <c r="B26" t="s">
        <v>403</v>
      </c>
      <c r="C26" t="s">
        <v>50</v>
      </c>
      <c r="D26" t="s">
        <v>50</v>
      </c>
      <c r="G26">
        <v>196.01</v>
      </c>
      <c r="H26">
        <v>265.19</v>
      </c>
      <c r="I26" t="s">
        <v>348</v>
      </c>
      <c r="J26">
        <v>567083</v>
      </c>
      <c r="K26">
        <v>1000</v>
      </c>
      <c r="L26">
        <v>17</v>
      </c>
      <c r="M26">
        <v>17</v>
      </c>
      <c r="N26">
        <v>0.9</v>
      </c>
      <c r="O26">
        <v>0.75</v>
      </c>
      <c r="P26">
        <v>32</v>
      </c>
      <c r="R26">
        <v>87319701</v>
      </c>
      <c r="S26">
        <v>87319701</v>
      </c>
      <c r="T26">
        <v>87319701</v>
      </c>
      <c r="U26">
        <v>87319701</v>
      </c>
      <c r="V26">
        <v>87319701</v>
      </c>
      <c r="W26">
        <v>87319701</v>
      </c>
      <c r="X26">
        <v>88399</v>
      </c>
      <c r="Y26">
        <v>88399</v>
      </c>
      <c r="Z26">
        <v>88399</v>
      </c>
      <c r="AA26">
        <v>88399</v>
      </c>
      <c r="AB26">
        <v>88399</v>
      </c>
      <c r="AC26">
        <v>88399</v>
      </c>
      <c r="AD26" t="s">
        <v>119</v>
      </c>
      <c r="AE26" t="s">
        <v>116</v>
      </c>
      <c r="AF26" t="s">
        <v>120</v>
      </c>
      <c r="AG26" t="s">
        <v>379</v>
      </c>
    </row>
    <row r="27" spans="1:33" x14ac:dyDescent="0.45">
      <c r="A27" t="s">
        <v>404</v>
      </c>
      <c r="B27" t="s">
        <v>405</v>
      </c>
      <c r="C27" t="s">
        <v>55</v>
      </c>
      <c r="D27" t="s">
        <v>55</v>
      </c>
      <c r="G27">
        <v>7.0000000000000007E-2</v>
      </c>
      <c r="H27">
        <v>0.09</v>
      </c>
      <c r="I27" t="s">
        <v>373</v>
      </c>
      <c r="J27">
        <v>567083</v>
      </c>
      <c r="K27">
        <v>1000</v>
      </c>
      <c r="L27">
        <v>17</v>
      </c>
      <c r="M27">
        <v>17</v>
      </c>
      <c r="N27">
        <v>0.9</v>
      </c>
      <c r="O27">
        <v>0.75</v>
      </c>
      <c r="P27">
        <v>32</v>
      </c>
      <c r="R27">
        <v>527020093</v>
      </c>
      <c r="S27">
        <v>527020093</v>
      </c>
      <c r="T27">
        <v>527020093</v>
      </c>
      <c r="U27">
        <v>527020093</v>
      </c>
      <c r="V27">
        <v>527020093</v>
      </c>
      <c r="W27">
        <v>527020093</v>
      </c>
      <c r="X27">
        <v>0</v>
      </c>
      <c r="Y27">
        <v>0</v>
      </c>
      <c r="Z27">
        <v>0</v>
      </c>
      <c r="AA27">
        <v>0</v>
      </c>
      <c r="AB27">
        <v>0</v>
      </c>
      <c r="AC27">
        <v>0</v>
      </c>
      <c r="AD27" t="s">
        <v>119</v>
      </c>
      <c r="AE27" t="s">
        <v>116</v>
      </c>
      <c r="AF27" t="s">
        <v>120</v>
      </c>
      <c r="AG27" t="s">
        <v>379</v>
      </c>
    </row>
    <row r="28" spans="1:33" x14ac:dyDescent="0.45">
      <c r="A28" t="s">
        <v>406</v>
      </c>
      <c r="B28" t="s">
        <v>407</v>
      </c>
      <c r="C28" t="s">
        <v>65</v>
      </c>
      <c r="D28" t="s">
        <v>65</v>
      </c>
      <c r="G28">
        <v>26.728000000000002</v>
      </c>
      <c r="H28">
        <v>36.161999999999999</v>
      </c>
      <c r="I28" t="s">
        <v>363</v>
      </c>
      <c r="J28">
        <v>567083</v>
      </c>
      <c r="K28">
        <v>1000</v>
      </c>
      <c r="L28">
        <v>17</v>
      </c>
      <c r="M28">
        <v>17</v>
      </c>
      <c r="N28">
        <v>0.9</v>
      </c>
      <c r="O28">
        <v>0.75</v>
      </c>
      <c r="P28">
        <v>32</v>
      </c>
      <c r="R28">
        <v>104999216</v>
      </c>
      <c r="S28">
        <v>97940564</v>
      </c>
      <c r="T28">
        <v>91917650</v>
      </c>
      <c r="U28">
        <v>86946207</v>
      </c>
      <c r="V28">
        <v>82736392</v>
      </c>
      <c r="W28">
        <v>79268162</v>
      </c>
      <c r="X28">
        <v>0</v>
      </c>
      <c r="Y28">
        <v>0</v>
      </c>
      <c r="Z28">
        <v>0</v>
      </c>
      <c r="AA28">
        <v>0</v>
      </c>
      <c r="AB28">
        <v>0</v>
      </c>
      <c r="AC28">
        <v>0</v>
      </c>
      <c r="AD28" t="s">
        <v>119</v>
      </c>
      <c r="AE28" t="s">
        <v>116</v>
      </c>
      <c r="AF28" t="s">
        <v>120</v>
      </c>
      <c r="AG28" t="s">
        <v>379</v>
      </c>
    </row>
    <row r="29" spans="1:33" x14ac:dyDescent="0.45">
      <c r="A29" t="s">
        <v>408</v>
      </c>
      <c r="B29" t="s">
        <v>409</v>
      </c>
      <c r="C29" t="s">
        <v>55</v>
      </c>
      <c r="D29" t="s">
        <v>55</v>
      </c>
      <c r="G29">
        <v>0.1</v>
      </c>
      <c r="H29">
        <v>0.12</v>
      </c>
      <c r="I29" t="s">
        <v>373</v>
      </c>
      <c r="J29">
        <v>232313</v>
      </c>
      <c r="K29">
        <v>1000</v>
      </c>
      <c r="L29">
        <v>1000</v>
      </c>
      <c r="M29">
        <v>1000</v>
      </c>
      <c r="N29">
        <v>0.75</v>
      </c>
      <c r="O29">
        <v>0.75</v>
      </c>
      <c r="P29">
        <v>35</v>
      </c>
      <c r="R29">
        <v>9830199</v>
      </c>
      <c r="S29">
        <v>9830199</v>
      </c>
      <c r="T29">
        <v>9830199</v>
      </c>
      <c r="U29">
        <v>9830199</v>
      </c>
      <c r="V29">
        <v>9830199</v>
      </c>
      <c r="W29">
        <v>9830199</v>
      </c>
      <c r="X29">
        <v>94402</v>
      </c>
      <c r="Y29">
        <v>94402</v>
      </c>
      <c r="Z29">
        <v>94402</v>
      </c>
      <c r="AA29">
        <v>94402</v>
      </c>
      <c r="AB29">
        <v>94402</v>
      </c>
      <c r="AC29">
        <v>94402</v>
      </c>
      <c r="AD29" t="s">
        <v>125</v>
      </c>
      <c r="AE29" t="s">
        <v>122</v>
      </c>
      <c r="AF29" t="s">
        <v>126</v>
      </c>
      <c r="AG29" t="s">
        <v>349</v>
      </c>
    </row>
    <row r="30" spans="1:33" x14ac:dyDescent="0.45">
      <c r="A30" t="s">
        <v>410</v>
      </c>
      <c r="B30" t="s">
        <v>411</v>
      </c>
      <c r="C30" t="s">
        <v>50</v>
      </c>
      <c r="D30" t="s">
        <v>50</v>
      </c>
      <c r="G30">
        <v>149.66999999999999</v>
      </c>
      <c r="H30">
        <v>202.49</v>
      </c>
      <c r="I30" t="s">
        <v>348</v>
      </c>
      <c r="J30">
        <v>232313</v>
      </c>
      <c r="K30">
        <v>1000</v>
      </c>
      <c r="L30">
        <v>1000</v>
      </c>
      <c r="M30">
        <v>1000</v>
      </c>
      <c r="N30">
        <v>0.75</v>
      </c>
      <c r="O30">
        <v>0.75</v>
      </c>
      <c r="P30">
        <v>35</v>
      </c>
      <c r="R30">
        <v>9282454</v>
      </c>
      <c r="S30">
        <v>9282454</v>
      </c>
      <c r="T30">
        <v>9282454</v>
      </c>
      <c r="U30">
        <v>9282454</v>
      </c>
      <c r="V30">
        <v>9282454</v>
      </c>
      <c r="W30">
        <v>9282454</v>
      </c>
      <c r="X30">
        <v>129230</v>
      </c>
      <c r="Y30">
        <v>129230</v>
      </c>
      <c r="Z30">
        <v>129230</v>
      </c>
      <c r="AA30">
        <v>129230</v>
      </c>
      <c r="AB30">
        <v>129230</v>
      </c>
      <c r="AC30">
        <v>129230</v>
      </c>
      <c r="AD30" t="s">
        <v>125</v>
      </c>
      <c r="AE30" t="s">
        <v>122</v>
      </c>
      <c r="AF30" t="s">
        <v>126</v>
      </c>
      <c r="AG30" t="s">
        <v>349</v>
      </c>
    </row>
    <row r="31" spans="1:33" x14ac:dyDescent="0.45">
      <c r="A31" t="s">
        <v>412</v>
      </c>
      <c r="B31" t="s">
        <v>413</v>
      </c>
      <c r="C31" t="s">
        <v>65</v>
      </c>
      <c r="D31" t="s">
        <v>65</v>
      </c>
      <c r="G31">
        <v>261.68099999999998</v>
      </c>
      <c r="H31">
        <v>354.03899999999999</v>
      </c>
      <c r="I31" t="s">
        <v>363</v>
      </c>
      <c r="J31">
        <v>232313</v>
      </c>
      <c r="K31">
        <v>1000</v>
      </c>
      <c r="L31">
        <v>1000</v>
      </c>
      <c r="M31">
        <v>1000</v>
      </c>
      <c r="N31">
        <v>0.75</v>
      </c>
      <c r="O31">
        <v>0.75</v>
      </c>
      <c r="P31">
        <v>35</v>
      </c>
      <c r="R31">
        <v>4048813</v>
      </c>
      <c r="S31">
        <v>3776628</v>
      </c>
      <c r="T31">
        <v>3544382</v>
      </c>
      <c r="U31">
        <v>3352682</v>
      </c>
      <c r="V31">
        <v>3190349</v>
      </c>
      <c r="W31">
        <v>3056613</v>
      </c>
      <c r="X31">
        <v>94402</v>
      </c>
      <c r="Y31">
        <v>94402</v>
      </c>
      <c r="Z31">
        <v>94402</v>
      </c>
      <c r="AA31">
        <v>94402</v>
      </c>
      <c r="AB31">
        <v>94402</v>
      </c>
      <c r="AC31">
        <v>94402</v>
      </c>
      <c r="AD31" t="s">
        <v>125</v>
      </c>
      <c r="AE31" t="s">
        <v>122</v>
      </c>
      <c r="AF31" t="s">
        <v>126</v>
      </c>
      <c r="AG31" t="s">
        <v>349</v>
      </c>
    </row>
    <row r="32" spans="1:33" x14ac:dyDescent="0.45">
      <c r="A32" t="s">
        <v>414</v>
      </c>
      <c r="B32" t="s">
        <v>415</v>
      </c>
      <c r="C32" t="s">
        <v>55</v>
      </c>
      <c r="D32" t="s">
        <v>55</v>
      </c>
      <c r="G32">
        <v>0.03</v>
      </c>
      <c r="H32">
        <v>0.03</v>
      </c>
      <c r="I32" t="s">
        <v>373</v>
      </c>
      <c r="J32">
        <v>69008</v>
      </c>
      <c r="K32">
        <v>1000</v>
      </c>
      <c r="L32">
        <v>2830</v>
      </c>
      <c r="M32">
        <v>2830</v>
      </c>
      <c r="N32">
        <v>0.8</v>
      </c>
      <c r="O32">
        <v>0.75</v>
      </c>
      <c r="P32">
        <v>35</v>
      </c>
      <c r="R32">
        <v>5696549</v>
      </c>
      <c r="S32">
        <v>5696549</v>
      </c>
      <c r="T32">
        <v>5696549</v>
      </c>
      <c r="U32">
        <v>5696549</v>
      </c>
      <c r="V32">
        <v>5696549</v>
      </c>
      <c r="W32">
        <v>5696549</v>
      </c>
      <c r="X32">
        <v>94402</v>
      </c>
      <c r="Y32">
        <v>94402</v>
      </c>
      <c r="Z32">
        <v>94402</v>
      </c>
      <c r="AA32">
        <v>94402</v>
      </c>
      <c r="AB32">
        <v>94402</v>
      </c>
      <c r="AC32">
        <v>94402</v>
      </c>
      <c r="AD32" t="s">
        <v>131</v>
      </c>
      <c r="AE32" t="s">
        <v>128</v>
      </c>
      <c r="AF32" t="s">
        <v>132</v>
      </c>
      <c r="AG32" t="s">
        <v>379</v>
      </c>
    </row>
    <row r="33" spans="1:33" x14ac:dyDescent="0.45">
      <c r="A33" t="s">
        <v>416</v>
      </c>
      <c r="B33" t="s">
        <v>417</v>
      </c>
      <c r="C33" t="s">
        <v>50</v>
      </c>
      <c r="D33" t="s">
        <v>50</v>
      </c>
      <c r="G33">
        <v>1174.67</v>
      </c>
      <c r="H33">
        <v>1589.27</v>
      </c>
      <c r="I33" t="s">
        <v>348</v>
      </c>
      <c r="J33">
        <v>69008</v>
      </c>
      <c r="K33">
        <v>1000</v>
      </c>
      <c r="L33">
        <v>2830</v>
      </c>
      <c r="M33">
        <v>2830</v>
      </c>
      <c r="N33">
        <v>0.8</v>
      </c>
      <c r="O33">
        <v>0.75</v>
      </c>
      <c r="P33">
        <v>35</v>
      </c>
      <c r="R33">
        <v>5203579</v>
      </c>
      <c r="S33">
        <v>5203579</v>
      </c>
      <c r="T33">
        <v>5203579</v>
      </c>
      <c r="U33">
        <v>5203579</v>
      </c>
      <c r="V33">
        <v>5203579</v>
      </c>
      <c r="W33">
        <v>5203579</v>
      </c>
      <c r="X33">
        <v>129230</v>
      </c>
      <c r="Y33">
        <v>129230</v>
      </c>
      <c r="Z33">
        <v>129230</v>
      </c>
      <c r="AA33">
        <v>129230</v>
      </c>
      <c r="AB33">
        <v>129230</v>
      </c>
      <c r="AC33">
        <v>129230</v>
      </c>
      <c r="AD33" t="s">
        <v>131</v>
      </c>
      <c r="AE33" t="s">
        <v>128</v>
      </c>
      <c r="AF33" t="s">
        <v>132</v>
      </c>
      <c r="AG33" t="s">
        <v>379</v>
      </c>
    </row>
    <row r="34" spans="1:33" x14ac:dyDescent="0.45">
      <c r="A34" t="s">
        <v>418</v>
      </c>
      <c r="B34" t="s">
        <v>419</v>
      </c>
      <c r="C34" t="s">
        <v>65</v>
      </c>
      <c r="D34" t="s">
        <v>65</v>
      </c>
      <c r="G34">
        <v>175.02799999999999</v>
      </c>
      <c r="H34">
        <v>236.80199999999999</v>
      </c>
      <c r="I34" t="s">
        <v>363</v>
      </c>
      <c r="J34">
        <v>69008</v>
      </c>
      <c r="K34">
        <v>1000</v>
      </c>
      <c r="L34">
        <v>2830</v>
      </c>
      <c r="M34">
        <v>2830</v>
      </c>
      <c r="N34">
        <v>0.8</v>
      </c>
      <c r="O34">
        <v>0.75</v>
      </c>
      <c r="P34">
        <v>35</v>
      </c>
      <c r="R34">
        <v>4048813</v>
      </c>
      <c r="S34">
        <v>3776628</v>
      </c>
      <c r="T34">
        <v>3544382</v>
      </c>
      <c r="U34">
        <v>3352682</v>
      </c>
      <c r="V34">
        <v>3190349</v>
      </c>
      <c r="W34">
        <v>3056613</v>
      </c>
      <c r="X34">
        <v>94402</v>
      </c>
      <c r="Y34">
        <v>94402</v>
      </c>
      <c r="Z34">
        <v>94402</v>
      </c>
      <c r="AA34">
        <v>94402</v>
      </c>
      <c r="AB34">
        <v>94402</v>
      </c>
      <c r="AC34">
        <v>94402</v>
      </c>
      <c r="AD34" t="s">
        <v>131</v>
      </c>
      <c r="AE34" t="s">
        <v>128</v>
      </c>
      <c r="AF34" t="s">
        <v>132</v>
      </c>
      <c r="AG34" t="s">
        <v>379</v>
      </c>
    </row>
    <row r="35" spans="1:33" x14ac:dyDescent="0.45">
      <c r="A35" t="s">
        <v>420</v>
      </c>
      <c r="B35" t="s">
        <v>421</v>
      </c>
      <c r="C35" t="s">
        <v>50</v>
      </c>
      <c r="D35" t="s">
        <v>50</v>
      </c>
      <c r="G35">
        <v>6073.76</v>
      </c>
      <c r="H35">
        <v>8217.44</v>
      </c>
      <c r="I35" t="s">
        <v>348</v>
      </c>
      <c r="J35">
        <v>68275</v>
      </c>
      <c r="K35">
        <v>1000</v>
      </c>
      <c r="L35">
        <v>757</v>
      </c>
      <c r="M35">
        <v>757</v>
      </c>
      <c r="N35">
        <v>0.75</v>
      </c>
      <c r="O35">
        <v>0.75</v>
      </c>
      <c r="P35">
        <v>33</v>
      </c>
      <c r="R35">
        <v>189030</v>
      </c>
      <c r="S35">
        <v>189030</v>
      </c>
      <c r="T35">
        <v>189030</v>
      </c>
      <c r="U35">
        <v>189030</v>
      </c>
      <c r="V35">
        <v>189030</v>
      </c>
      <c r="W35">
        <v>189030</v>
      </c>
      <c r="X35">
        <v>116</v>
      </c>
      <c r="Y35">
        <v>116</v>
      </c>
      <c r="Z35">
        <v>116</v>
      </c>
      <c r="AA35">
        <v>116</v>
      </c>
      <c r="AB35">
        <v>116</v>
      </c>
      <c r="AC35">
        <v>116</v>
      </c>
      <c r="AD35" t="s">
        <v>137</v>
      </c>
      <c r="AE35" t="s">
        <v>134</v>
      </c>
      <c r="AF35" t="s">
        <v>138</v>
      </c>
      <c r="AG35" t="s">
        <v>349</v>
      </c>
    </row>
    <row r="36" spans="1:33" x14ac:dyDescent="0.45">
      <c r="A36" t="s">
        <v>422</v>
      </c>
      <c r="B36" t="s">
        <v>423</v>
      </c>
      <c r="C36" t="s">
        <v>65</v>
      </c>
      <c r="D36" t="s">
        <v>65</v>
      </c>
      <c r="G36">
        <v>16611.074000000001</v>
      </c>
      <c r="H36">
        <v>22473.806</v>
      </c>
      <c r="I36" t="s">
        <v>363</v>
      </c>
      <c r="J36">
        <v>68275</v>
      </c>
      <c r="K36">
        <v>1000</v>
      </c>
      <c r="L36">
        <v>757</v>
      </c>
      <c r="M36">
        <v>757</v>
      </c>
      <c r="N36">
        <v>0.75</v>
      </c>
      <c r="O36">
        <v>0.75</v>
      </c>
      <c r="P36">
        <v>33</v>
      </c>
      <c r="R36">
        <v>48586</v>
      </c>
      <c r="S36">
        <v>45320</v>
      </c>
      <c r="T36">
        <v>42533</v>
      </c>
      <c r="U36">
        <v>40232</v>
      </c>
      <c r="V36">
        <v>38284</v>
      </c>
      <c r="W36">
        <v>36679</v>
      </c>
      <c r="X36">
        <v>0</v>
      </c>
      <c r="Y36">
        <v>0</v>
      </c>
      <c r="Z36">
        <v>0</v>
      </c>
      <c r="AA36">
        <v>0</v>
      </c>
      <c r="AB36">
        <v>0</v>
      </c>
      <c r="AC36">
        <v>0</v>
      </c>
      <c r="AD36" t="s">
        <v>137</v>
      </c>
      <c r="AE36" t="s">
        <v>134</v>
      </c>
      <c r="AF36" t="s">
        <v>138</v>
      </c>
      <c r="AG36" t="s">
        <v>349</v>
      </c>
    </row>
    <row r="37" spans="1:33" x14ac:dyDescent="0.45">
      <c r="A37" t="s">
        <v>424</v>
      </c>
      <c r="B37" t="s">
        <v>425</v>
      </c>
      <c r="C37" t="s">
        <v>50</v>
      </c>
      <c r="D37" t="s">
        <v>50</v>
      </c>
      <c r="G37">
        <v>528.85</v>
      </c>
      <c r="H37">
        <v>715.51</v>
      </c>
      <c r="I37" t="s">
        <v>348</v>
      </c>
      <c r="J37">
        <v>401064</v>
      </c>
      <c r="K37">
        <v>1000</v>
      </c>
      <c r="L37">
        <v>1974</v>
      </c>
      <c r="M37">
        <v>1974</v>
      </c>
      <c r="N37">
        <v>0.9</v>
      </c>
      <c r="O37">
        <v>0.75</v>
      </c>
      <c r="P37">
        <v>33</v>
      </c>
      <c r="R37">
        <v>10000000</v>
      </c>
      <c r="S37">
        <v>10000000</v>
      </c>
      <c r="T37">
        <v>10000000</v>
      </c>
      <c r="U37">
        <v>10000000</v>
      </c>
      <c r="V37">
        <v>10000000</v>
      </c>
      <c r="W37">
        <v>10000000</v>
      </c>
      <c r="X37">
        <v>65772</v>
      </c>
      <c r="Y37">
        <v>65772</v>
      </c>
      <c r="Z37">
        <v>65772</v>
      </c>
      <c r="AA37">
        <v>65772</v>
      </c>
      <c r="AB37">
        <v>65772</v>
      </c>
      <c r="AC37">
        <v>65772</v>
      </c>
      <c r="AD37" t="s">
        <v>143</v>
      </c>
      <c r="AE37" t="s">
        <v>140</v>
      </c>
      <c r="AF37" t="s">
        <v>144</v>
      </c>
      <c r="AG37" t="s">
        <v>379</v>
      </c>
    </row>
    <row r="38" spans="1:33" x14ac:dyDescent="0.45">
      <c r="A38" t="s">
        <v>426</v>
      </c>
      <c r="B38" t="s">
        <v>427</v>
      </c>
      <c r="C38" t="s">
        <v>65</v>
      </c>
      <c r="D38" t="s">
        <v>65</v>
      </c>
      <c r="G38">
        <v>81.616</v>
      </c>
      <c r="H38">
        <v>110.422</v>
      </c>
      <c r="I38" t="s">
        <v>363</v>
      </c>
      <c r="J38">
        <v>401064</v>
      </c>
      <c r="K38">
        <v>1000</v>
      </c>
      <c r="L38">
        <v>1974</v>
      </c>
      <c r="M38">
        <v>1974</v>
      </c>
      <c r="N38">
        <v>0.9</v>
      </c>
      <c r="O38">
        <v>0.75</v>
      </c>
      <c r="P38">
        <v>33</v>
      </c>
      <c r="R38">
        <v>16195252</v>
      </c>
      <c r="S38">
        <v>15106514</v>
      </c>
      <c r="T38">
        <v>14177530</v>
      </c>
      <c r="U38">
        <v>13410726</v>
      </c>
      <c r="V38">
        <v>12761397</v>
      </c>
      <c r="W38">
        <v>12226452</v>
      </c>
      <c r="X38">
        <v>0</v>
      </c>
      <c r="Y38">
        <v>0</v>
      </c>
      <c r="Z38">
        <v>0</v>
      </c>
      <c r="AA38">
        <v>0</v>
      </c>
      <c r="AB38">
        <v>0</v>
      </c>
      <c r="AC38">
        <v>0</v>
      </c>
      <c r="AD38" t="s">
        <v>143</v>
      </c>
      <c r="AE38" t="s">
        <v>140</v>
      </c>
      <c r="AF38" t="s">
        <v>144</v>
      </c>
      <c r="AG38" t="s">
        <v>379</v>
      </c>
    </row>
    <row r="39" spans="1:33" x14ac:dyDescent="0.45">
      <c r="A39" t="s">
        <v>428</v>
      </c>
      <c r="B39" t="s">
        <v>429</v>
      </c>
      <c r="C39" t="s">
        <v>45</v>
      </c>
      <c r="D39" t="s">
        <v>45</v>
      </c>
      <c r="G39">
        <v>1.76</v>
      </c>
      <c r="H39">
        <v>2.38</v>
      </c>
      <c r="I39" t="s">
        <v>348</v>
      </c>
      <c r="J39">
        <v>6500</v>
      </c>
      <c r="K39">
        <v>1000</v>
      </c>
      <c r="L39">
        <v>1.6</v>
      </c>
      <c r="M39">
        <v>1.6</v>
      </c>
      <c r="N39">
        <v>0.25</v>
      </c>
      <c r="O39">
        <v>0.9</v>
      </c>
      <c r="P39">
        <v>10</v>
      </c>
      <c r="R39">
        <v>1175</v>
      </c>
      <c r="S39">
        <v>1175</v>
      </c>
      <c r="T39">
        <v>1175</v>
      </c>
      <c r="U39">
        <v>1175</v>
      </c>
      <c r="V39">
        <v>1175</v>
      </c>
      <c r="W39">
        <v>1175</v>
      </c>
      <c r="X39">
        <v>35</v>
      </c>
      <c r="Y39">
        <v>35</v>
      </c>
      <c r="Z39">
        <v>35</v>
      </c>
      <c r="AA39">
        <v>35</v>
      </c>
      <c r="AB39">
        <v>35</v>
      </c>
      <c r="AC39">
        <v>35</v>
      </c>
      <c r="AD39" t="s">
        <v>149</v>
      </c>
      <c r="AE39" t="s">
        <v>146</v>
      </c>
      <c r="AF39" t="s">
        <v>150</v>
      </c>
      <c r="AG39" t="s">
        <v>349</v>
      </c>
    </row>
    <row r="40" spans="1:33" x14ac:dyDescent="0.45">
      <c r="A40" t="s">
        <v>430</v>
      </c>
      <c r="B40" t="s">
        <v>431</v>
      </c>
      <c r="C40" t="s">
        <v>55</v>
      </c>
      <c r="D40" t="s">
        <v>55</v>
      </c>
      <c r="G40">
        <v>15.17</v>
      </c>
      <c r="H40">
        <v>18.54</v>
      </c>
      <c r="I40" t="s">
        <v>373</v>
      </c>
      <c r="J40">
        <v>6500</v>
      </c>
      <c r="K40">
        <v>1000</v>
      </c>
      <c r="L40">
        <v>1.6</v>
      </c>
      <c r="M40">
        <v>1.6</v>
      </c>
      <c r="N40">
        <v>0.25</v>
      </c>
      <c r="O40">
        <v>0.9</v>
      </c>
      <c r="P40">
        <v>10</v>
      </c>
      <c r="R40">
        <v>581</v>
      </c>
      <c r="S40">
        <v>581</v>
      </c>
      <c r="T40">
        <v>581</v>
      </c>
      <c r="U40">
        <v>581</v>
      </c>
      <c r="V40">
        <v>581</v>
      </c>
      <c r="W40">
        <v>581</v>
      </c>
      <c r="X40">
        <v>19</v>
      </c>
      <c r="Y40">
        <v>19</v>
      </c>
      <c r="Z40">
        <v>19</v>
      </c>
      <c r="AA40">
        <v>19</v>
      </c>
      <c r="AB40">
        <v>19</v>
      </c>
      <c r="AC40">
        <v>19</v>
      </c>
      <c r="AD40" t="s">
        <v>149</v>
      </c>
      <c r="AE40" t="s">
        <v>146</v>
      </c>
      <c r="AF40" t="s">
        <v>150</v>
      </c>
      <c r="AG40" t="s">
        <v>349</v>
      </c>
    </row>
    <row r="41" spans="1:33" x14ac:dyDescent="0.45">
      <c r="A41" t="s">
        <v>511</v>
      </c>
      <c r="B41" t="s">
        <v>512</v>
      </c>
      <c r="C41" t="s">
        <v>62</v>
      </c>
      <c r="D41" t="s">
        <v>62</v>
      </c>
      <c r="G41">
        <v>0.57899999999999996</v>
      </c>
      <c r="H41">
        <v>0.78300000000000003</v>
      </c>
      <c r="I41" t="s">
        <v>363</v>
      </c>
      <c r="J41">
        <v>6500</v>
      </c>
      <c r="K41">
        <v>1000</v>
      </c>
      <c r="L41">
        <v>1.6</v>
      </c>
      <c r="M41">
        <v>1.6</v>
      </c>
      <c r="N41">
        <v>0.25</v>
      </c>
      <c r="O41">
        <v>0.9</v>
      </c>
      <c r="P41">
        <v>10</v>
      </c>
      <c r="R41">
        <v>0</v>
      </c>
      <c r="S41">
        <v>0</v>
      </c>
      <c r="T41">
        <v>0</v>
      </c>
      <c r="U41">
        <v>0</v>
      </c>
      <c r="V41">
        <v>0</v>
      </c>
      <c r="W41">
        <v>0</v>
      </c>
      <c r="X41">
        <v>35</v>
      </c>
      <c r="Y41">
        <v>35</v>
      </c>
      <c r="Z41">
        <v>35</v>
      </c>
      <c r="AA41">
        <v>35</v>
      </c>
      <c r="AB41">
        <v>35</v>
      </c>
      <c r="AC41">
        <v>35</v>
      </c>
      <c r="AD41" t="s">
        <v>149</v>
      </c>
      <c r="AE41" t="s">
        <v>146</v>
      </c>
      <c r="AF41" t="s">
        <v>150</v>
      </c>
      <c r="AG41" t="s">
        <v>349</v>
      </c>
    </row>
    <row r="42" spans="1:33" x14ac:dyDescent="0.45">
      <c r="A42" t="s">
        <v>433</v>
      </c>
      <c r="B42" t="s">
        <v>434</v>
      </c>
      <c r="C42" t="s">
        <v>45</v>
      </c>
      <c r="D42" t="s">
        <v>45</v>
      </c>
      <c r="G42">
        <v>2.5099999999999998</v>
      </c>
      <c r="H42">
        <v>3.39</v>
      </c>
      <c r="I42" t="s">
        <v>348</v>
      </c>
      <c r="J42">
        <v>35000</v>
      </c>
      <c r="K42">
        <v>1000</v>
      </c>
      <c r="L42">
        <v>1.76</v>
      </c>
      <c r="M42">
        <v>1.76</v>
      </c>
      <c r="N42">
        <v>0.4</v>
      </c>
      <c r="O42">
        <v>0.85</v>
      </c>
      <c r="P42">
        <v>10</v>
      </c>
      <c r="R42">
        <v>2376</v>
      </c>
      <c r="S42">
        <v>2376</v>
      </c>
      <c r="T42">
        <v>2376</v>
      </c>
      <c r="U42">
        <v>2376</v>
      </c>
      <c r="V42">
        <v>2376</v>
      </c>
      <c r="W42">
        <v>2376</v>
      </c>
      <c r="X42">
        <v>35</v>
      </c>
      <c r="Y42">
        <v>35</v>
      </c>
      <c r="Z42">
        <v>35</v>
      </c>
      <c r="AA42">
        <v>35</v>
      </c>
      <c r="AB42">
        <v>35</v>
      </c>
      <c r="AC42">
        <v>35</v>
      </c>
      <c r="AD42" t="s">
        <v>155</v>
      </c>
      <c r="AE42" t="s">
        <v>152</v>
      </c>
      <c r="AF42" t="s">
        <v>156</v>
      </c>
      <c r="AG42" t="s">
        <v>379</v>
      </c>
    </row>
    <row r="43" spans="1:33" x14ac:dyDescent="0.45">
      <c r="A43" t="s">
        <v>435</v>
      </c>
      <c r="B43" t="s">
        <v>436</v>
      </c>
      <c r="C43" t="s">
        <v>55</v>
      </c>
      <c r="D43" t="s">
        <v>55</v>
      </c>
      <c r="G43">
        <v>10.61</v>
      </c>
      <c r="H43">
        <v>12.97</v>
      </c>
      <c r="I43" t="s">
        <v>373</v>
      </c>
      <c r="J43">
        <v>35000</v>
      </c>
      <c r="K43">
        <v>1000</v>
      </c>
      <c r="L43">
        <v>1.76</v>
      </c>
      <c r="M43">
        <v>1.76</v>
      </c>
      <c r="N43">
        <v>0.4</v>
      </c>
      <c r="O43">
        <v>0.85</v>
      </c>
      <c r="P43">
        <v>10</v>
      </c>
      <c r="R43">
        <v>2469</v>
      </c>
      <c r="S43">
        <v>2469</v>
      </c>
      <c r="T43">
        <v>2469</v>
      </c>
      <c r="U43">
        <v>2469</v>
      </c>
      <c r="V43">
        <v>2469</v>
      </c>
      <c r="W43">
        <v>2469</v>
      </c>
      <c r="X43">
        <v>19</v>
      </c>
      <c r="Y43">
        <v>19</v>
      </c>
      <c r="Z43">
        <v>19</v>
      </c>
      <c r="AA43">
        <v>19</v>
      </c>
      <c r="AB43">
        <v>19</v>
      </c>
      <c r="AC43">
        <v>19</v>
      </c>
      <c r="AD43" t="s">
        <v>155</v>
      </c>
      <c r="AE43" t="s">
        <v>152</v>
      </c>
      <c r="AF43" t="s">
        <v>156</v>
      </c>
      <c r="AG43" t="s">
        <v>379</v>
      </c>
    </row>
    <row r="44" spans="1:33" x14ac:dyDescent="0.45">
      <c r="A44" t="s">
        <v>437</v>
      </c>
      <c r="B44" t="s">
        <v>438</v>
      </c>
      <c r="C44" t="s">
        <v>50</v>
      </c>
      <c r="D44" t="s">
        <v>50</v>
      </c>
      <c r="G44">
        <v>2.2999999999999998</v>
      </c>
      <c r="H44">
        <v>3.12</v>
      </c>
      <c r="I44" t="s">
        <v>348</v>
      </c>
      <c r="J44">
        <v>35000</v>
      </c>
      <c r="K44">
        <v>1000</v>
      </c>
      <c r="L44">
        <v>1.76</v>
      </c>
      <c r="M44">
        <v>1.76</v>
      </c>
      <c r="N44">
        <v>0.4</v>
      </c>
      <c r="O44">
        <v>0.85</v>
      </c>
      <c r="P44">
        <v>10</v>
      </c>
      <c r="R44">
        <v>2043</v>
      </c>
      <c r="S44">
        <v>2043</v>
      </c>
      <c r="T44">
        <v>2043</v>
      </c>
      <c r="U44">
        <v>2043</v>
      </c>
      <c r="V44">
        <v>2043</v>
      </c>
      <c r="W44">
        <v>2043</v>
      </c>
      <c r="X44">
        <v>35</v>
      </c>
      <c r="Y44">
        <v>35</v>
      </c>
      <c r="Z44">
        <v>35</v>
      </c>
      <c r="AA44">
        <v>35</v>
      </c>
      <c r="AB44">
        <v>35</v>
      </c>
      <c r="AC44">
        <v>35</v>
      </c>
      <c r="AD44" t="s">
        <v>155</v>
      </c>
      <c r="AE44" t="s">
        <v>152</v>
      </c>
      <c r="AF44" t="s">
        <v>156</v>
      </c>
      <c r="AG44" t="s">
        <v>379</v>
      </c>
    </row>
    <row r="45" spans="1:33" x14ac:dyDescent="0.45">
      <c r="A45" t="s">
        <v>513</v>
      </c>
      <c r="B45" t="s">
        <v>440</v>
      </c>
      <c r="C45" t="s">
        <v>62</v>
      </c>
      <c r="D45" t="s">
        <v>62</v>
      </c>
      <c r="G45">
        <v>0.82499999999999996</v>
      </c>
      <c r="H45">
        <v>1.115</v>
      </c>
      <c r="I45" t="s">
        <v>363</v>
      </c>
      <c r="J45">
        <v>35000</v>
      </c>
      <c r="K45">
        <v>1000</v>
      </c>
      <c r="L45">
        <v>1.76</v>
      </c>
      <c r="M45">
        <v>1.76</v>
      </c>
      <c r="N45">
        <v>0.4</v>
      </c>
      <c r="O45">
        <v>0.85</v>
      </c>
      <c r="P45">
        <v>10</v>
      </c>
      <c r="R45">
        <v>2592</v>
      </c>
      <c r="S45">
        <v>2592</v>
      </c>
      <c r="T45">
        <v>2592</v>
      </c>
      <c r="U45">
        <v>2592</v>
      </c>
      <c r="V45">
        <v>2592</v>
      </c>
      <c r="W45">
        <v>2592</v>
      </c>
      <c r="X45">
        <v>35</v>
      </c>
      <c r="Y45">
        <v>35</v>
      </c>
      <c r="Z45">
        <v>35</v>
      </c>
      <c r="AA45">
        <v>35</v>
      </c>
      <c r="AB45">
        <v>35</v>
      </c>
      <c r="AC45">
        <v>35</v>
      </c>
      <c r="AD45" t="s">
        <v>155</v>
      </c>
      <c r="AE45" t="s">
        <v>152</v>
      </c>
      <c r="AF45" t="s">
        <v>156</v>
      </c>
      <c r="AG45" t="s">
        <v>379</v>
      </c>
    </row>
  </sheetData>
  <pageMargins left="0.7" right="0.7" top="0.75" bottom="0.75" header="0.3" footer="0.3"/>
  <pageSetup paperSize="9" orientation="portrait" horizontalDpi="300" verticalDpi="300"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CD75E-4534-4711-963E-C7536E238597}">
  <dimension ref="A1:I6"/>
  <sheetViews>
    <sheetView workbookViewId="0">
      <selection activeCell="I7" sqref="I7"/>
    </sheetView>
  </sheetViews>
  <sheetFormatPr defaultRowHeight="14.25" x14ac:dyDescent="0.45"/>
  <cols>
    <col min="1" max="1" width="15.59765625" customWidth="1"/>
    <col min="2" max="2" width="39.06640625" bestFit="1" customWidth="1"/>
    <col min="3" max="3" width="7.265625" bestFit="1" customWidth="1"/>
    <col min="4" max="4" width="11.1328125" bestFit="1" customWidth="1"/>
  </cols>
  <sheetData>
    <row r="1" spans="1:9" s="36" customFormat="1" ht="14.65" thickBot="1" x14ac:dyDescent="0.5">
      <c r="A1" s="33" t="s">
        <v>37</v>
      </c>
      <c r="B1" s="34" t="s">
        <v>38</v>
      </c>
      <c r="C1" s="34" t="s">
        <v>320</v>
      </c>
      <c r="D1" s="34" t="s">
        <v>321</v>
      </c>
      <c r="E1" s="34" t="s">
        <v>322</v>
      </c>
      <c r="F1" s="34" t="s">
        <v>323</v>
      </c>
      <c r="G1" s="35" t="s">
        <v>516</v>
      </c>
      <c r="H1" s="35" t="s">
        <v>166</v>
      </c>
      <c r="I1" s="35" t="s">
        <v>514</v>
      </c>
    </row>
    <row r="2" spans="1:9" ht="14.65" thickTop="1" x14ac:dyDescent="0.45">
      <c r="A2" s="29" t="s">
        <v>346</v>
      </c>
      <c r="B2" s="30" t="s">
        <v>347</v>
      </c>
      <c r="C2" s="30" t="s">
        <v>45</v>
      </c>
      <c r="D2" s="30" t="s">
        <v>45</v>
      </c>
      <c r="E2" s="30"/>
      <c r="F2" s="30"/>
      <c r="G2" s="30"/>
      <c r="H2" s="30"/>
      <c r="I2" s="30"/>
    </row>
    <row r="3" spans="1:9" x14ac:dyDescent="0.45">
      <c r="A3" s="31" t="s">
        <v>350</v>
      </c>
      <c r="B3" s="32" t="s">
        <v>351</v>
      </c>
      <c r="C3" s="32" t="s">
        <v>50</v>
      </c>
      <c r="D3" s="32" t="s">
        <v>50</v>
      </c>
      <c r="E3" s="32"/>
      <c r="F3" s="32"/>
      <c r="G3" s="32"/>
      <c r="H3" s="32"/>
      <c r="I3" s="32"/>
    </row>
    <row r="4" spans="1:9" x14ac:dyDescent="0.45">
      <c r="A4" s="29" t="s">
        <v>352</v>
      </c>
      <c r="B4" s="30" t="s">
        <v>353</v>
      </c>
      <c r="C4" s="30" t="s">
        <v>354</v>
      </c>
      <c r="D4" s="30" t="s">
        <v>45</v>
      </c>
      <c r="E4" s="30" t="s">
        <v>52</v>
      </c>
      <c r="F4" s="30">
        <v>0.1</v>
      </c>
      <c r="G4" s="30"/>
      <c r="H4" s="30"/>
      <c r="I4" s="30"/>
    </row>
    <row r="5" spans="1:9" x14ac:dyDescent="0.45">
      <c r="A5" s="31" t="s">
        <v>355</v>
      </c>
      <c r="B5" s="32" t="s">
        <v>356</v>
      </c>
      <c r="C5" s="32" t="s">
        <v>354</v>
      </c>
      <c r="D5" s="32" t="s">
        <v>52</v>
      </c>
      <c r="E5" s="32" t="s">
        <v>45</v>
      </c>
      <c r="F5" s="32">
        <v>0.15</v>
      </c>
      <c r="G5" s="32">
        <v>2030</v>
      </c>
      <c r="H5" s="32" t="s">
        <v>35</v>
      </c>
      <c r="I5" s="32"/>
    </row>
    <row r="6" spans="1:9" x14ac:dyDescent="0.45">
      <c r="H6" t="s">
        <v>515</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5"/>
  <sheetViews>
    <sheetView topLeftCell="A22" workbookViewId="0">
      <selection activeCell="K38" sqref="K38"/>
    </sheetView>
  </sheetViews>
  <sheetFormatPr defaultColWidth="10.73046875" defaultRowHeight="14.25" x14ac:dyDescent="0.45"/>
  <cols>
    <col min="1" max="1" width="9.73046875" customWidth="1"/>
    <col min="2" max="2" width="6.73046875" customWidth="1"/>
    <col min="3" max="9" width="10.73046875" customWidth="1"/>
    <col min="10" max="12" width="6.73046875" customWidth="1"/>
    <col min="13" max="15" width="7.73046875" customWidth="1"/>
    <col min="16" max="16" width="191.73046875" customWidth="1"/>
    <col min="17" max="17" width="15.73046875" customWidth="1"/>
  </cols>
  <sheetData>
    <row r="1" spans="1:17" x14ac:dyDescent="0.45">
      <c r="A1" s="3" t="s">
        <v>441</v>
      </c>
      <c r="B1" s="3" t="s">
        <v>166</v>
      </c>
      <c r="C1" s="3" t="s">
        <v>442</v>
      </c>
      <c r="D1" s="3" t="s">
        <v>443</v>
      </c>
      <c r="E1" s="3" t="s">
        <v>444</v>
      </c>
      <c r="F1" s="3" t="s">
        <v>445</v>
      </c>
      <c r="G1" s="3" t="s">
        <v>446</v>
      </c>
      <c r="H1" s="3" t="s">
        <v>447</v>
      </c>
      <c r="I1" s="3" t="s">
        <v>448</v>
      </c>
      <c r="J1" s="3" t="s">
        <v>449</v>
      </c>
      <c r="K1" s="3" t="s">
        <v>450</v>
      </c>
      <c r="L1" s="3" t="s">
        <v>451</v>
      </c>
      <c r="M1" s="3" t="s">
        <v>452</v>
      </c>
      <c r="N1" s="3" t="s">
        <v>453</v>
      </c>
      <c r="O1" s="3" t="s">
        <v>454</v>
      </c>
      <c r="P1" s="3" t="s">
        <v>2</v>
      </c>
      <c r="Q1" s="3" t="s">
        <v>43</v>
      </c>
    </row>
    <row r="2" spans="1:17" x14ac:dyDescent="0.45">
      <c r="A2" t="s">
        <v>346</v>
      </c>
      <c r="B2" t="s">
        <v>35</v>
      </c>
      <c r="C2">
        <v>22948</v>
      </c>
      <c r="D2">
        <v>21513.8</v>
      </c>
      <c r="E2">
        <v>14342.5</v>
      </c>
      <c r="F2">
        <v>7171.2</v>
      </c>
      <c r="G2">
        <v>0</v>
      </c>
      <c r="H2">
        <v>0</v>
      </c>
      <c r="I2">
        <v>0</v>
      </c>
      <c r="P2" t="s">
        <v>455</v>
      </c>
      <c r="Q2" t="s">
        <v>76</v>
      </c>
    </row>
    <row r="3" spans="1:17" x14ac:dyDescent="0.45">
      <c r="A3" t="s">
        <v>350</v>
      </c>
      <c r="B3" t="s">
        <v>35</v>
      </c>
      <c r="C3">
        <v>7216.7</v>
      </c>
      <c r="D3">
        <v>6765.7</v>
      </c>
      <c r="E3">
        <v>4510.3999999999996</v>
      </c>
      <c r="F3">
        <v>2255.1999999999998</v>
      </c>
      <c r="G3">
        <v>0</v>
      </c>
      <c r="H3">
        <v>0</v>
      </c>
      <c r="I3">
        <v>0</v>
      </c>
      <c r="P3" t="s">
        <v>455</v>
      </c>
      <c r="Q3" t="s">
        <v>76</v>
      </c>
    </row>
    <row r="4" spans="1:17" x14ac:dyDescent="0.45">
      <c r="A4" t="s">
        <v>352</v>
      </c>
      <c r="B4" t="s">
        <v>35</v>
      </c>
      <c r="C4">
        <v>0</v>
      </c>
      <c r="P4" t="s">
        <v>455</v>
      </c>
      <c r="Q4" t="s">
        <v>76</v>
      </c>
    </row>
    <row r="5" spans="1:17" x14ac:dyDescent="0.45">
      <c r="A5" t="s">
        <v>355</v>
      </c>
      <c r="B5" t="s">
        <v>35</v>
      </c>
      <c r="C5">
        <v>0</v>
      </c>
      <c r="P5" t="s">
        <v>455</v>
      </c>
      <c r="Q5" t="s">
        <v>76</v>
      </c>
    </row>
    <row r="6" spans="1:17" x14ac:dyDescent="0.45">
      <c r="A6" t="s">
        <v>357</v>
      </c>
      <c r="B6" t="s">
        <v>35</v>
      </c>
      <c r="C6">
        <v>0</v>
      </c>
      <c r="P6" t="s">
        <v>455</v>
      </c>
      <c r="Q6" t="s">
        <v>76</v>
      </c>
    </row>
    <row r="7" spans="1:17" x14ac:dyDescent="0.45">
      <c r="A7" t="s">
        <v>359</v>
      </c>
      <c r="B7" t="s">
        <v>35</v>
      </c>
      <c r="C7">
        <v>0</v>
      </c>
      <c r="P7" t="s">
        <v>455</v>
      </c>
      <c r="Q7" t="s">
        <v>76</v>
      </c>
    </row>
    <row r="8" spans="1:17" x14ac:dyDescent="0.45">
      <c r="A8" t="s">
        <v>361</v>
      </c>
      <c r="B8" t="s">
        <v>35</v>
      </c>
      <c r="C8">
        <v>849.8</v>
      </c>
      <c r="D8">
        <v>796.7</v>
      </c>
      <c r="E8">
        <v>531.1</v>
      </c>
      <c r="F8">
        <v>265.60000000000002</v>
      </c>
      <c r="G8">
        <v>0</v>
      </c>
      <c r="H8">
        <v>0</v>
      </c>
      <c r="I8">
        <v>0</v>
      </c>
      <c r="P8" t="s">
        <v>455</v>
      </c>
      <c r="Q8" t="s">
        <v>76</v>
      </c>
    </row>
    <row r="9" spans="1:17" x14ac:dyDescent="0.45">
      <c r="A9" t="s">
        <v>364</v>
      </c>
      <c r="B9" t="s">
        <v>35</v>
      </c>
      <c r="C9">
        <v>849.8</v>
      </c>
      <c r="D9">
        <v>796.7</v>
      </c>
      <c r="E9">
        <v>531.1</v>
      </c>
      <c r="F9">
        <v>265.60000000000002</v>
      </c>
      <c r="G9">
        <v>0</v>
      </c>
      <c r="H9">
        <v>0</v>
      </c>
      <c r="I9">
        <v>0</v>
      </c>
      <c r="P9" t="s">
        <v>455</v>
      </c>
      <c r="Q9" t="s">
        <v>76</v>
      </c>
    </row>
    <row r="10" spans="1:17" x14ac:dyDescent="0.45">
      <c r="A10" t="s">
        <v>366</v>
      </c>
      <c r="B10" t="s">
        <v>35</v>
      </c>
      <c r="C10">
        <v>0</v>
      </c>
      <c r="P10" t="s">
        <v>455</v>
      </c>
      <c r="Q10" t="s">
        <v>76</v>
      </c>
    </row>
    <row r="11" spans="1:17" x14ac:dyDescent="0.45">
      <c r="A11" t="s">
        <v>368</v>
      </c>
      <c r="B11" t="s">
        <v>35</v>
      </c>
      <c r="C11">
        <v>0</v>
      </c>
      <c r="P11" t="s">
        <v>455</v>
      </c>
      <c r="Q11" t="s">
        <v>76</v>
      </c>
    </row>
    <row r="12" spans="1:17" x14ac:dyDescent="0.45">
      <c r="A12" t="s">
        <v>371</v>
      </c>
      <c r="B12" t="s">
        <v>35</v>
      </c>
      <c r="C12">
        <v>615.79999999999995</v>
      </c>
      <c r="D12">
        <v>577.29999999999995</v>
      </c>
      <c r="E12">
        <v>384.9</v>
      </c>
      <c r="F12">
        <v>192.4</v>
      </c>
      <c r="G12">
        <v>0</v>
      </c>
      <c r="H12">
        <v>0</v>
      </c>
      <c r="I12">
        <v>0</v>
      </c>
      <c r="P12" t="s">
        <v>455</v>
      </c>
      <c r="Q12" t="s">
        <v>76</v>
      </c>
    </row>
    <row r="13" spans="1:17" x14ac:dyDescent="0.45">
      <c r="A13" t="s">
        <v>374</v>
      </c>
      <c r="B13" t="s">
        <v>35</v>
      </c>
      <c r="C13">
        <v>0</v>
      </c>
      <c r="P13" t="s">
        <v>455</v>
      </c>
      <c r="Q13" t="s">
        <v>76</v>
      </c>
    </row>
    <row r="14" spans="1:17" x14ac:dyDescent="0.45">
      <c r="A14" t="s">
        <v>376</v>
      </c>
      <c r="B14" t="s">
        <v>35</v>
      </c>
      <c r="C14">
        <v>3091.9</v>
      </c>
      <c r="D14">
        <v>2782.7</v>
      </c>
      <c r="E14">
        <v>1236.8</v>
      </c>
      <c r="F14">
        <v>0</v>
      </c>
      <c r="G14">
        <v>0</v>
      </c>
      <c r="H14">
        <v>0</v>
      </c>
      <c r="I14">
        <v>0</v>
      </c>
      <c r="P14" t="s">
        <v>456</v>
      </c>
      <c r="Q14" t="s">
        <v>83</v>
      </c>
    </row>
    <row r="15" spans="1:17" x14ac:dyDescent="0.45">
      <c r="A15" t="s">
        <v>380</v>
      </c>
      <c r="B15" t="s">
        <v>35</v>
      </c>
      <c r="C15">
        <v>0</v>
      </c>
      <c r="P15" t="s">
        <v>456</v>
      </c>
      <c r="Q15" t="s">
        <v>83</v>
      </c>
    </row>
    <row r="16" spans="1:17" x14ac:dyDescent="0.45">
      <c r="A16" t="s">
        <v>382</v>
      </c>
      <c r="B16" t="s">
        <v>35</v>
      </c>
      <c r="C16">
        <v>0</v>
      </c>
      <c r="P16" t="s">
        <v>456</v>
      </c>
      <c r="Q16" t="s">
        <v>83</v>
      </c>
    </row>
    <row r="17" spans="1:17" x14ac:dyDescent="0.45">
      <c r="A17" t="s">
        <v>384</v>
      </c>
      <c r="B17" t="s">
        <v>35</v>
      </c>
      <c r="C17">
        <v>1928.8</v>
      </c>
      <c r="D17">
        <v>1735.9</v>
      </c>
      <c r="E17">
        <v>771.5</v>
      </c>
      <c r="F17">
        <v>0</v>
      </c>
      <c r="G17">
        <v>0</v>
      </c>
      <c r="H17">
        <v>0</v>
      </c>
      <c r="I17">
        <v>0</v>
      </c>
      <c r="P17" t="s">
        <v>457</v>
      </c>
      <c r="Q17" t="s">
        <v>101</v>
      </c>
    </row>
    <row r="18" spans="1:17" x14ac:dyDescent="0.45">
      <c r="A18" t="s">
        <v>386</v>
      </c>
      <c r="B18" t="s">
        <v>35</v>
      </c>
      <c r="C18">
        <v>26.7</v>
      </c>
      <c r="D18">
        <v>24</v>
      </c>
      <c r="E18">
        <v>10.7</v>
      </c>
      <c r="F18">
        <v>0</v>
      </c>
      <c r="G18">
        <v>0</v>
      </c>
      <c r="H18">
        <v>0</v>
      </c>
      <c r="I18">
        <v>0</v>
      </c>
      <c r="P18" t="s">
        <v>457</v>
      </c>
      <c r="Q18" t="s">
        <v>101</v>
      </c>
    </row>
    <row r="19" spans="1:17" x14ac:dyDescent="0.45">
      <c r="A19" t="s">
        <v>388</v>
      </c>
      <c r="B19" t="s">
        <v>35</v>
      </c>
      <c r="C19">
        <v>8.4</v>
      </c>
      <c r="D19">
        <v>7.6</v>
      </c>
      <c r="E19">
        <v>3.4</v>
      </c>
      <c r="F19">
        <v>0</v>
      </c>
      <c r="G19">
        <v>0</v>
      </c>
      <c r="H19">
        <v>0</v>
      </c>
      <c r="I19">
        <v>0</v>
      </c>
      <c r="P19" t="s">
        <v>457</v>
      </c>
      <c r="Q19" t="s">
        <v>101</v>
      </c>
    </row>
    <row r="20" spans="1:17" x14ac:dyDescent="0.45">
      <c r="A20" t="s">
        <v>390</v>
      </c>
      <c r="B20" t="s">
        <v>35</v>
      </c>
      <c r="C20">
        <v>6177.5</v>
      </c>
      <c r="D20">
        <v>5559.8</v>
      </c>
      <c r="E20">
        <v>2471</v>
      </c>
      <c r="F20">
        <v>0</v>
      </c>
      <c r="G20">
        <v>0</v>
      </c>
      <c r="H20">
        <v>0</v>
      </c>
      <c r="I20">
        <v>0</v>
      </c>
      <c r="P20" t="s">
        <v>458</v>
      </c>
      <c r="Q20" t="s">
        <v>107</v>
      </c>
    </row>
    <row r="21" spans="1:17" x14ac:dyDescent="0.45">
      <c r="A21" t="s">
        <v>392</v>
      </c>
      <c r="B21" t="s">
        <v>35</v>
      </c>
      <c r="C21">
        <v>0</v>
      </c>
      <c r="P21" t="s">
        <v>458</v>
      </c>
      <c r="Q21" t="s">
        <v>107</v>
      </c>
    </row>
    <row r="22" spans="1:17" x14ac:dyDescent="0.45">
      <c r="A22" t="s">
        <v>394</v>
      </c>
      <c r="B22" t="s">
        <v>35</v>
      </c>
      <c r="C22">
        <v>0</v>
      </c>
      <c r="P22" t="s">
        <v>458</v>
      </c>
      <c r="Q22" t="s">
        <v>107</v>
      </c>
    </row>
    <row r="23" spans="1:17" x14ac:dyDescent="0.45">
      <c r="A23" t="s">
        <v>396</v>
      </c>
      <c r="B23" t="s">
        <v>35</v>
      </c>
      <c r="C23">
        <v>0.6</v>
      </c>
      <c r="D23">
        <v>0.6</v>
      </c>
      <c r="E23">
        <v>0.4</v>
      </c>
      <c r="F23">
        <v>0.3</v>
      </c>
      <c r="G23">
        <v>0.1</v>
      </c>
      <c r="H23">
        <v>0</v>
      </c>
      <c r="I23">
        <v>0</v>
      </c>
      <c r="P23" t="s">
        <v>459</v>
      </c>
      <c r="Q23" t="s">
        <v>113</v>
      </c>
    </row>
    <row r="24" spans="1:17" x14ac:dyDescent="0.45">
      <c r="A24" t="s">
        <v>398</v>
      </c>
      <c r="B24" t="s">
        <v>35</v>
      </c>
      <c r="C24">
        <v>0</v>
      </c>
      <c r="P24" t="s">
        <v>459</v>
      </c>
      <c r="Q24" t="s">
        <v>113</v>
      </c>
    </row>
    <row r="25" spans="1:17" x14ac:dyDescent="0.45">
      <c r="A25" t="s">
        <v>400</v>
      </c>
      <c r="B25" t="s">
        <v>35</v>
      </c>
      <c r="C25">
        <v>0</v>
      </c>
      <c r="P25" t="s">
        <v>459</v>
      </c>
      <c r="Q25" t="s">
        <v>113</v>
      </c>
    </row>
    <row r="26" spans="1:17" x14ac:dyDescent="0.45">
      <c r="A26" t="s">
        <v>402</v>
      </c>
      <c r="B26" t="s">
        <v>35</v>
      </c>
      <c r="C26">
        <v>0.1</v>
      </c>
      <c r="D26">
        <v>0.1</v>
      </c>
      <c r="E26">
        <v>0.1</v>
      </c>
      <c r="F26">
        <v>0.1</v>
      </c>
      <c r="G26">
        <v>0</v>
      </c>
      <c r="H26">
        <v>0</v>
      </c>
      <c r="I26">
        <v>0</v>
      </c>
      <c r="P26" t="s">
        <v>460</v>
      </c>
      <c r="Q26" t="s">
        <v>119</v>
      </c>
    </row>
    <row r="27" spans="1:17" x14ac:dyDescent="0.45">
      <c r="A27" t="s">
        <v>404</v>
      </c>
      <c r="B27" t="s">
        <v>35</v>
      </c>
      <c r="C27">
        <v>0</v>
      </c>
      <c r="P27" t="s">
        <v>460</v>
      </c>
      <c r="Q27" t="s">
        <v>119</v>
      </c>
    </row>
    <row r="28" spans="1:17" x14ac:dyDescent="0.45">
      <c r="A28" t="s">
        <v>406</v>
      </c>
      <c r="B28" t="s">
        <v>35</v>
      </c>
      <c r="C28">
        <v>0</v>
      </c>
      <c r="P28" t="s">
        <v>460</v>
      </c>
      <c r="Q28" t="s">
        <v>119</v>
      </c>
    </row>
    <row r="29" spans="1:17" x14ac:dyDescent="0.45">
      <c r="A29" t="s">
        <v>408</v>
      </c>
      <c r="B29" t="s">
        <v>35</v>
      </c>
      <c r="C29">
        <v>3.2</v>
      </c>
      <c r="D29">
        <v>3.1</v>
      </c>
      <c r="E29">
        <v>2.7</v>
      </c>
      <c r="F29">
        <v>2.2000000000000002</v>
      </c>
      <c r="G29">
        <v>1.7</v>
      </c>
      <c r="H29">
        <v>1.3</v>
      </c>
      <c r="I29">
        <v>0.8</v>
      </c>
      <c r="P29" t="s">
        <v>461</v>
      </c>
      <c r="Q29" t="s">
        <v>125</v>
      </c>
    </row>
    <row r="30" spans="1:17" x14ac:dyDescent="0.45">
      <c r="A30" t="s">
        <v>410</v>
      </c>
      <c r="B30" t="s">
        <v>35</v>
      </c>
      <c r="C30">
        <v>3.1</v>
      </c>
      <c r="D30">
        <v>3</v>
      </c>
      <c r="E30">
        <v>2.6</v>
      </c>
      <c r="F30">
        <v>2.1</v>
      </c>
      <c r="G30">
        <v>1.7</v>
      </c>
      <c r="H30">
        <v>1.2</v>
      </c>
      <c r="I30">
        <v>0.8</v>
      </c>
      <c r="P30" t="s">
        <v>461</v>
      </c>
      <c r="Q30" t="s">
        <v>125</v>
      </c>
    </row>
    <row r="31" spans="1:17" x14ac:dyDescent="0.45">
      <c r="A31" t="s">
        <v>412</v>
      </c>
      <c r="B31" t="s">
        <v>35</v>
      </c>
      <c r="C31">
        <v>0</v>
      </c>
      <c r="P31" t="s">
        <v>461</v>
      </c>
      <c r="Q31" t="s">
        <v>125</v>
      </c>
    </row>
    <row r="32" spans="1:17" x14ac:dyDescent="0.45">
      <c r="A32" t="s">
        <v>414</v>
      </c>
      <c r="B32" t="s">
        <v>35</v>
      </c>
      <c r="C32">
        <v>3.6</v>
      </c>
      <c r="D32">
        <v>3.5</v>
      </c>
      <c r="E32">
        <v>3</v>
      </c>
      <c r="F32">
        <v>2.5</v>
      </c>
      <c r="G32">
        <v>2</v>
      </c>
      <c r="H32">
        <v>1.4</v>
      </c>
      <c r="I32">
        <v>0.9</v>
      </c>
      <c r="P32" t="s">
        <v>462</v>
      </c>
      <c r="Q32" t="s">
        <v>131</v>
      </c>
    </row>
    <row r="33" spans="1:17" x14ac:dyDescent="0.45">
      <c r="A33" t="s">
        <v>416</v>
      </c>
      <c r="B33" t="s">
        <v>35</v>
      </c>
      <c r="C33">
        <v>1.8</v>
      </c>
      <c r="D33">
        <v>1.7</v>
      </c>
      <c r="E33">
        <v>1.5</v>
      </c>
      <c r="F33">
        <v>1.2</v>
      </c>
      <c r="G33">
        <v>1</v>
      </c>
      <c r="H33">
        <v>0.7</v>
      </c>
      <c r="I33">
        <v>0.5</v>
      </c>
      <c r="P33" t="s">
        <v>462</v>
      </c>
      <c r="Q33" t="s">
        <v>131</v>
      </c>
    </row>
    <row r="34" spans="1:17" x14ac:dyDescent="0.45">
      <c r="A34" t="s">
        <v>418</v>
      </c>
      <c r="B34" t="s">
        <v>35</v>
      </c>
      <c r="C34">
        <v>0</v>
      </c>
      <c r="P34" t="s">
        <v>462</v>
      </c>
      <c r="Q34" t="s">
        <v>131</v>
      </c>
    </row>
    <row r="35" spans="1:17" x14ac:dyDescent="0.45">
      <c r="A35" t="s">
        <v>420</v>
      </c>
      <c r="B35" t="s">
        <v>35</v>
      </c>
      <c r="C35">
        <v>0.1</v>
      </c>
      <c r="D35">
        <v>0.1</v>
      </c>
      <c r="E35">
        <v>0.1</v>
      </c>
      <c r="F35">
        <v>0.1</v>
      </c>
      <c r="G35">
        <v>0.1</v>
      </c>
      <c r="H35">
        <v>0</v>
      </c>
      <c r="I35">
        <v>0</v>
      </c>
      <c r="P35" t="s">
        <v>463</v>
      </c>
      <c r="Q35" t="s">
        <v>137</v>
      </c>
    </row>
    <row r="36" spans="1:17" x14ac:dyDescent="0.45">
      <c r="A36" t="s">
        <v>422</v>
      </c>
      <c r="B36" t="s">
        <v>35</v>
      </c>
      <c r="C36">
        <v>0</v>
      </c>
      <c r="P36" t="s">
        <v>463</v>
      </c>
      <c r="Q36" t="s">
        <v>137</v>
      </c>
    </row>
    <row r="37" spans="1:17" x14ac:dyDescent="0.45">
      <c r="A37" t="s">
        <v>424</v>
      </c>
      <c r="B37" t="s">
        <v>35</v>
      </c>
      <c r="C37">
        <v>1.2</v>
      </c>
      <c r="D37">
        <v>1.2</v>
      </c>
      <c r="E37">
        <v>1</v>
      </c>
      <c r="F37">
        <v>0.8</v>
      </c>
      <c r="G37">
        <v>0.6</v>
      </c>
      <c r="H37">
        <v>0.4</v>
      </c>
      <c r="I37">
        <v>0.3</v>
      </c>
      <c r="P37" t="s">
        <v>464</v>
      </c>
      <c r="Q37" t="s">
        <v>143</v>
      </c>
    </row>
    <row r="38" spans="1:17" x14ac:dyDescent="0.45">
      <c r="A38" t="s">
        <v>426</v>
      </c>
      <c r="B38" t="s">
        <v>35</v>
      </c>
      <c r="C38">
        <v>0</v>
      </c>
      <c r="P38" t="s">
        <v>464</v>
      </c>
      <c r="Q38" t="s">
        <v>143</v>
      </c>
    </row>
    <row r="39" spans="1:17" x14ac:dyDescent="0.45">
      <c r="A39" t="s">
        <v>428</v>
      </c>
      <c r="B39" t="s">
        <v>35</v>
      </c>
      <c r="C39">
        <v>181871.8</v>
      </c>
      <c r="D39">
        <v>163684.6</v>
      </c>
      <c r="E39">
        <v>72748.7</v>
      </c>
      <c r="F39">
        <v>0</v>
      </c>
      <c r="G39">
        <v>0</v>
      </c>
      <c r="H39">
        <v>0</v>
      </c>
      <c r="I39">
        <v>0</v>
      </c>
      <c r="P39" t="s">
        <v>465</v>
      </c>
      <c r="Q39" t="s">
        <v>149</v>
      </c>
    </row>
    <row r="40" spans="1:17" x14ac:dyDescent="0.45">
      <c r="A40" t="s">
        <v>430</v>
      </c>
      <c r="B40" t="s">
        <v>35</v>
      </c>
      <c r="C40">
        <v>7487.2</v>
      </c>
      <c r="D40">
        <v>6738.5</v>
      </c>
      <c r="E40">
        <v>2994.9</v>
      </c>
      <c r="F40">
        <v>0</v>
      </c>
      <c r="G40">
        <v>0</v>
      </c>
      <c r="H40">
        <v>0</v>
      </c>
      <c r="I40">
        <v>0</v>
      </c>
      <c r="P40" t="s">
        <v>465</v>
      </c>
      <c r="Q40" t="s">
        <v>149</v>
      </c>
    </row>
    <row r="41" spans="1:17" x14ac:dyDescent="0.45">
      <c r="A41" t="s">
        <v>432</v>
      </c>
      <c r="B41" t="s">
        <v>35</v>
      </c>
      <c r="C41">
        <v>0</v>
      </c>
      <c r="P41" t="s">
        <v>465</v>
      </c>
      <c r="Q41" t="s">
        <v>149</v>
      </c>
    </row>
    <row r="42" spans="1:17" x14ac:dyDescent="0.45">
      <c r="A42" t="s">
        <v>433</v>
      </c>
      <c r="B42" t="s">
        <v>35</v>
      </c>
      <c r="C42">
        <v>3483.1</v>
      </c>
      <c r="D42">
        <v>3134.8</v>
      </c>
      <c r="E42">
        <v>1393.2</v>
      </c>
      <c r="F42">
        <v>0</v>
      </c>
      <c r="G42">
        <v>0</v>
      </c>
      <c r="H42">
        <v>0</v>
      </c>
      <c r="I42">
        <v>0</v>
      </c>
      <c r="P42" t="s">
        <v>466</v>
      </c>
      <c r="Q42" t="s">
        <v>155</v>
      </c>
    </row>
    <row r="43" spans="1:17" x14ac:dyDescent="0.45">
      <c r="A43" t="s">
        <v>435</v>
      </c>
      <c r="B43" t="s">
        <v>35</v>
      </c>
      <c r="C43">
        <v>293.89999999999998</v>
      </c>
      <c r="D43">
        <v>264.5</v>
      </c>
      <c r="E43">
        <v>117.6</v>
      </c>
      <c r="F43">
        <v>0</v>
      </c>
      <c r="G43">
        <v>0</v>
      </c>
      <c r="H43">
        <v>0</v>
      </c>
      <c r="I43">
        <v>0</v>
      </c>
      <c r="P43" t="s">
        <v>466</v>
      </c>
      <c r="Q43" t="s">
        <v>155</v>
      </c>
    </row>
    <row r="44" spans="1:17" x14ac:dyDescent="0.45">
      <c r="A44" t="s">
        <v>437</v>
      </c>
      <c r="B44" t="s">
        <v>35</v>
      </c>
      <c r="C44">
        <v>3191.6</v>
      </c>
      <c r="D44">
        <v>2872.4</v>
      </c>
      <c r="E44">
        <v>1276.5999999999999</v>
      </c>
      <c r="F44">
        <v>0</v>
      </c>
      <c r="G44">
        <v>0</v>
      </c>
      <c r="H44">
        <v>0</v>
      </c>
      <c r="I44">
        <v>0</v>
      </c>
      <c r="P44" t="s">
        <v>466</v>
      </c>
      <c r="Q44" t="s">
        <v>155</v>
      </c>
    </row>
    <row r="45" spans="1:17" x14ac:dyDescent="0.45">
      <c r="A45" t="s">
        <v>439</v>
      </c>
      <c r="B45" t="s">
        <v>35</v>
      </c>
      <c r="C45">
        <v>984.6</v>
      </c>
      <c r="D45">
        <v>886.1</v>
      </c>
      <c r="E45">
        <v>393.8</v>
      </c>
      <c r="F45">
        <v>0</v>
      </c>
      <c r="G45">
        <v>0</v>
      </c>
      <c r="H45">
        <v>0</v>
      </c>
      <c r="I45">
        <v>0</v>
      </c>
      <c r="P45" t="s">
        <v>466</v>
      </c>
      <c r="Q45" t="s">
        <v>155</v>
      </c>
    </row>
  </sheetData>
  <pageMargins left="0.7" right="0.7" top="0.75" bottom="0.75" header="0.3" footer="0.3"/>
  <pageSetup paperSize="9" orientation="portrait" horizontalDpi="300" verticalDpi="300"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9724C-E486-4200-8871-901FF490A398}">
  <dimension ref="A1:J36"/>
  <sheetViews>
    <sheetView topLeftCell="A4" workbookViewId="0">
      <selection activeCell="A7" sqref="A7:J17"/>
    </sheetView>
  </sheetViews>
  <sheetFormatPr defaultRowHeight="14.25" x14ac:dyDescent="0.45"/>
  <cols>
    <col min="1" max="1" width="59.46484375" customWidth="1"/>
    <col min="2" max="2" width="12.86328125" customWidth="1"/>
    <col min="3" max="3" width="13.265625" customWidth="1"/>
  </cols>
  <sheetData>
    <row r="1" spans="1:10" x14ac:dyDescent="0.45">
      <c r="A1" s="22" t="s">
        <v>467</v>
      </c>
    </row>
    <row r="2" spans="1:10" x14ac:dyDescent="0.45">
      <c r="A2" t="s">
        <v>468</v>
      </c>
    </row>
    <row r="3" spans="1:10" x14ac:dyDescent="0.45">
      <c r="A3" t="s">
        <v>469</v>
      </c>
    </row>
    <row r="4" spans="1:10" x14ac:dyDescent="0.45">
      <c r="A4" t="s">
        <v>470</v>
      </c>
    </row>
    <row r="7" spans="1:10" x14ac:dyDescent="0.45">
      <c r="A7" s="10" t="s">
        <v>471</v>
      </c>
      <c r="B7" s="11" t="s">
        <v>472</v>
      </c>
      <c r="C7" s="12" t="s">
        <v>50</v>
      </c>
      <c r="D7" s="12" t="s">
        <v>58</v>
      </c>
      <c r="E7" s="12" t="s">
        <v>62</v>
      </c>
      <c r="F7" s="12" t="s">
        <v>473</v>
      </c>
      <c r="G7" s="12" t="s">
        <v>474</v>
      </c>
      <c r="H7" s="12" t="s">
        <v>475</v>
      </c>
      <c r="I7" s="12" t="s">
        <v>65</v>
      </c>
      <c r="J7" s="12" t="s">
        <v>476</v>
      </c>
    </row>
    <row r="8" spans="1:10" x14ac:dyDescent="0.45">
      <c r="A8" s="13" t="s">
        <v>477</v>
      </c>
      <c r="B8" s="14">
        <v>218</v>
      </c>
      <c r="C8" s="15">
        <v>2569539</v>
      </c>
      <c r="D8" s="15">
        <v>43296</v>
      </c>
      <c r="E8" s="14">
        <v>15</v>
      </c>
      <c r="F8" s="14">
        <v>1</v>
      </c>
      <c r="G8" s="14">
        <v>0</v>
      </c>
      <c r="H8" s="15">
        <v>1170</v>
      </c>
      <c r="I8" s="14">
        <v>1</v>
      </c>
      <c r="J8" s="15">
        <v>9481</v>
      </c>
    </row>
    <row r="9" spans="1:10" x14ac:dyDescent="0.45">
      <c r="A9" s="13" t="s">
        <v>478</v>
      </c>
      <c r="B9" s="14">
        <v>80</v>
      </c>
      <c r="C9" s="15">
        <v>234154</v>
      </c>
      <c r="D9" s="15">
        <v>16356</v>
      </c>
      <c r="E9" s="14">
        <v>4</v>
      </c>
      <c r="F9" s="14">
        <v>0</v>
      </c>
      <c r="G9" s="14">
        <v>0</v>
      </c>
      <c r="H9" s="15">
        <v>14922</v>
      </c>
      <c r="I9" s="14">
        <v>15</v>
      </c>
      <c r="J9" s="14">
        <v>148</v>
      </c>
    </row>
    <row r="10" spans="1:10" x14ac:dyDescent="0.45">
      <c r="A10" s="16" t="s">
        <v>479</v>
      </c>
      <c r="B10" s="15">
        <v>256097</v>
      </c>
      <c r="C10" s="15">
        <v>4904678</v>
      </c>
      <c r="D10" s="15">
        <v>483532</v>
      </c>
      <c r="E10" s="15">
        <v>1786</v>
      </c>
      <c r="F10" s="14">
        <v>69</v>
      </c>
      <c r="G10" s="14">
        <v>0</v>
      </c>
      <c r="H10" s="15">
        <v>22925</v>
      </c>
      <c r="I10" s="14">
        <v>0</v>
      </c>
      <c r="J10" s="15">
        <v>260692</v>
      </c>
    </row>
    <row r="11" spans="1:10" x14ac:dyDescent="0.45">
      <c r="A11" s="13" t="s">
        <v>480</v>
      </c>
      <c r="B11" s="14">
        <v>35</v>
      </c>
      <c r="C11" s="15">
        <v>330918</v>
      </c>
      <c r="D11" s="15">
        <v>52724</v>
      </c>
      <c r="E11" s="14">
        <v>0</v>
      </c>
      <c r="F11" s="14">
        <v>0</v>
      </c>
      <c r="G11" s="14">
        <v>0</v>
      </c>
      <c r="H11" s="14">
        <v>8</v>
      </c>
      <c r="I11" s="14">
        <v>0</v>
      </c>
      <c r="J11" s="15">
        <v>5220</v>
      </c>
    </row>
    <row r="12" spans="1:10" x14ac:dyDescent="0.45">
      <c r="A12" s="13" t="s">
        <v>481</v>
      </c>
      <c r="B12" s="14">
        <v>99</v>
      </c>
      <c r="C12" s="15">
        <v>200071</v>
      </c>
      <c r="D12" s="15">
        <v>16619</v>
      </c>
      <c r="E12" s="14">
        <v>2</v>
      </c>
      <c r="F12" s="14">
        <v>0</v>
      </c>
      <c r="G12" s="14">
        <v>0</v>
      </c>
      <c r="H12" s="14">
        <v>875</v>
      </c>
      <c r="I12" s="14">
        <v>5</v>
      </c>
      <c r="J12" s="14">
        <v>25</v>
      </c>
    </row>
    <row r="13" spans="1:10" x14ac:dyDescent="0.45">
      <c r="A13" s="13" t="s">
        <v>482</v>
      </c>
      <c r="B13" s="15">
        <v>175483957</v>
      </c>
      <c r="C13" s="15">
        <v>6401</v>
      </c>
      <c r="D13" s="15">
        <v>84038</v>
      </c>
      <c r="E13" s="15">
        <v>1091</v>
      </c>
      <c r="F13" s="14">
        <v>18</v>
      </c>
      <c r="G13" s="14">
        <v>0</v>
      </c>
      <c r="H13" s="15">
        <v>4366428</v>
      </c>
      <c r="I13" s="14">
        <v>0</v>
      </c>
      <c r="J13" s="15">
        <v>40383</v>
      </c>
    </row>
    <row r="14" spans="1:10" x14ac:dyDescent="0.45">
      <c r="A14" s="13" t="s">
        <v>483</v>
      </c>
      <c r="B14" s="15">
        <v>24876709</v>
      </c>
      <c r="C14" s="15">
        <v>15203904</v>
      </c>
      <c r="D14" s="15">
        <v>4983997</v>
      </c>
      <c r="E14" s="15">
        <v>430570</v>
      </c>
      <c r="F14" s="15">
        <v>1504261</v>
      </c>
      <c r="G14" s="14">
        <v>114</v>
      </c>
      <c r="H14" s="15">
        <v>457354</v>
      </c>
      <c r="I14" s="14">
        <v>1</v>
      </c>
      <c r="J14" s="15">
        <v>77881</v>
      </c>
    </row>
    <row r="15" spans="1:10" x14ac:dyDescent="0.45">
      <c r="A15" s="13" t="s">
        <v>484</v>
      </c>
      <c r="B15" s="14">
        <v>36</v>
      </c>
      <c r="C15" s="14">
        <v>613</v>
      </c>
      <c r="D15" s="14">
        <v>94</v>
      </c>
      <c r="E15" s="14">
        <v>979</v>
      </c>
      <c r="F15" s="14">
        <v>0</v>
      </c>
      <c r="G15" s="14">
        <v>0</v>
      </c>
      <c r="H15" s="15">
        <v>2320510</v>
      </c>
      <c r="I15" s="14">
        <v>0</v>
      </c>
      <c r="J15" s="15">
        <v>2664</v>
      </c>
    </row>
    <row r="16" spans="1:10" x14ac:dyDescent="0.45">
      <c r="A16" s="13" t="s">
        <v>485</v>
      </c>
      <c r="B16" s="15">
        <v>4595</v>
      </c>
      <c r="C16" s="15">
        <v>842236</v>
      </c>
      <c r="D16" s="15">
        <v>160491</v>
      </c>
      <c r="E16" s="14">
        <v>473</v>
      </c>
      <c r="F16" s="14">
        <v>0</v>
      </c>
      <c r="G16" s="14">
        <v>0</v>
      </c>
      <c r="H16" s="15">
        <v>110583</v>
      </c>
      <c r="I16" s="14">
        <v>0</v>
      </c>
      <c r="J16" s="14">
        <v>374</v>
      </c>
    </row>
    <row r="17" spans="1:10" x14ac:dyDescent="0.45">
      <c r="A17" s="13" t="s">
        <v>486</v>
      </c>
      <c r="B17" s="15">
        <v>143979</v>
      </c>
      <c r="C17" s="15">
        <v>1410671</v>
      </c>
      <c r="D17" s="15">
        <v>1967843</v>
      </c>
      <c r="E17" s="15">
        <v>562603</v>
      </c>
      <c r="F17" s="14">
        <v>6</v>
      </c>
      <c r="G17" s="14">
        <v>0</v>
      </c>
      <c r="H17" s="15">
        <v>403346</v>
      </c>
      <c r="I17" s="14">
        <v>0</v>
      </c>
      <c r="J17" s="15">
        <v>6944</v>
      </c>
    </row>
    <row r="18" spans="1:10" x14ac:dyDescent="0.45">
      <c r="A18" s="17"/>
      <c r="B18" s="17"/>
      <c r="C18" s="17"/>
      <c r="D18" s="17"/>
      <c r="E18" s="17"/>
      <c r="F18" s="17"/>
      <c r="G18" s="17"/>
      <c r="H18" s="17"/>
      <c r="I18" s="17"/>
      <c r="J18" s="17"/>
    </row>
    <row r="19" spans="1:10" x14ac:dyDescent="0.45">
      <c r="A19" s="18" t="s">
        <v>487</v>
      </c>
      <c r="B19" s="17"/>
      <c r="C19" s="17"/>
      <c r="D19" s="17"/>
      <c r="E19" s="17"/>
      <c r="F19" s="17"/>
      <c r="G19" s="17"/>
      <c r="H19" s="17"/>
      <c r="I19" s="17"/>
      <c r="J19" s="17"/>
    </row>
    <row r="20" spans="1:10" x14ac:dyDescent="0.45">
      <c r="A20" s="19" t="s">
        <v>488</v>
      </c>
      <c r="B20" s="19"/>
      <c r="C20" s="19"/>
      <c r="D20" s="19"/>
      <c r="E20" s="17"/>
      <c r="F20" s="17"/>
      <c r="G20" s="17"/>
      <c r="H20" s="17"/>
      <c r="I20" s="17"/>
      <c r="J20" s="17"/>
    </row>
    <row r="21" spans="1:10" x14ac:dyDescent="0.45">
      <c r="A21" s="19" t="s">
        <v>489</v>
      </c>
      <c r="B21" s="19"/>
      <c r="C21" s="19"/>
      <c r="D21" s="17"/>
      <c r="E21" s="17"/>
      <c r="F21" s="17"/>
      <c r="G21" s="17"/>
      <c r="H21" s="17"/>
      <c r="I21" s="17"/>
      <c r="J21" s="17"/>
    </row>
    <row r="22" spans="1:10" x14ac:dyDescent="0.45">
      <c r="A22" s="19" t="s">
        <v>490</v>
      </c>
      <c r="B22" s="17"/>
      <c r="C22" s="17"/>
      <c r="D22" s="17"/>
      <c r="E22" s="17"/>
      <c r="F22" s="17"/>
      <c r="G22" s="17"/>
      <c r="H22" s="17"/>
      <c r="I22" s="17"/>
      <c r="J22" s="17"/>
    </row>
    <row r="23" spans="1:10" x14ac:dyDescent="0.45">
      <c r="A23" s="19" t="s">
        <v>491</v>
      </c>
      <c r="B23" s="17"/>
      <c r="C23" s="17"/>
      <c r="D23" s="17"/>
      <c r="E23" s="17"/>
      <c r="F23" s="17"/>
      <c r="G23" s="17"/>
      <c r="H23" s="17"/>
      <c r="I23" s="17"/>
      <c r="J23" s="17"/>
    </row>
    <row r="24" spans="1:10" x14ac:dyDescent="0.45">
      <c r="A24" s="19"/>
      <c r="B24" s="17"/>
      <c r="C24" s="17"/>
      <c r="D24" s="17"/>
      <c r="E24" s="17"/>
      <c r="F24" s="17"/>
      <c r="G24" s="17"/>
      <c r="H24" s="17"/>
      <c r="I24" s="17"/>
      <c r="J24" s="17"/>
    </row>
    <row r="25" spans="1:10" x14ac:dyDescent="0.45">
      <c r="A25" s="20" t="s">
        <v>492</v>
      </c>
      <c r="B25" s="17"/>
      <c r="C25" s="17"/>
      <c r="D25" s="17"/>
      <c r="E25" s="17"/>
      <c r="F25" s="17"/>
      <c r="G25" s="17"/>
      <c r="H25" s="17"/>
      <c r="I25" s="17"/>
      <c r="J25" s="17"/>
    </row>
    <row r="26" spans="1:10" x14ac:dyDescent="0.45">
      <c r="A26" s="10" t="s">
        <v>471</v>
      </c>
      <c r="B26" s="11" t="s">
        <v>472</v>
      </c>
      <c r="C26" s="12" t="s">
        <v>50</v>
      </c>
      <c r="D26" s="12" t="s">
        <v>58</v>
      </c>
      <c r="E26" s="12" t="s">
        <v>62</v>
      </c>
      <c r="F26" s="12" t="s">
        <v>473</v>
      </c>
      <c r="G26" s="12" t="s">
        <v>474</v>
      </c>
      <c r="H26" s="12" t="s">
        <v>475</v>
      </c>
      <c r="I26" s="12" t="s">
        <v>65</v>
      </c>
      <c r="J26" s="12" t="s">
        <v>476</v>
      </c>
    </row>
    <row r="27" spans="1:10" x14ac:dyDescent="0.45">
      <c r="A27" s="13" t="s">
        <v>477</v>
      </c>
      <c r="B27" s="21">
        <v>0</v>
      </c>
      <c r="C27" s="21">
        <v>0.98</v>
      </c>
      <c r="D27" s="21">
        <v>0.02</v>
      </c>
      <c r="E27" s="21">
        <v>0</v>
      </c>
      <c r="F27" s="21">
        <v>0</v>
      </c>
      <c r="G27" s="21">
        <v>0</v>
      </c>
      <c r="H27" s="21">
        <v>0</v>
      </c>
      <c r="I27" s="21">
        <v>0</v>
      </c>
      <c r="J27" s="21">
        <v>0</v>
      </c>
    </row>
    <row r="28" spans="1:10" x14ac:dyDescent="0.45">
      <c r="A28" s="13" t="s">
        <v>478</v>
      </c>
      <c r="B28" s="21">
        <v>0</v>
      </c>
      <c r="C28" s="21">
        <v>0.88</v>
      </c>
      <c r="D28" s="21">
        <v>0.06</v>
      </c>
      <c r="E28" s="21">
        <v>0</v>
      </c>
      <c r="F28" s="21">
        <v>0</v>
      </c>
      <c r="G28" s="21">
        <v>0</v>
      </c>
      <c r="H28" s="21">
        <v>0.06</v>
      </c>
      <c r="I28" s="21">
        <v>0</v>
      </c>
      <c r="J28" s="21">
        <v>0</v>
      </c>
    </row>
    <row r="29" spans="1:10" x14ac:dyDescent="0.45">
      <c r="A29" s="13" t="s">
        <v>493</v>
      </c>
      <c r="B29" s="21">
        <v>0.04</v>
      </c>
      <c r="C29" s="21">
        <v>0.83</v>
      </c>
      <c r="D29" s="21">
        <v>0.08</v>
      </c>
      <c r="E29" s="21">
        <v>0</v>
      </c>
      <c r="F29" s="21">
        <v>0</v>
      </c>
      <c r="G29" s="21">
        <v>0</v>
      </c>
      <c r="H29" s="21">
        <v>0</v>
      </c>
      <c r="I29" s="21">
        <v>0</v>
      </c>
      <c r="J29" s="21">
        <v>0.04</v>
      </c>
    </row>
    <row r="30" spans="1:10" x14ac:dyDescent="0.45">
      <c r="A30" s="13" t="s">
        <v>480</v>
      </c>
      <c r="B30" s="21">
        <v>0</v>
      </c>
      <c r="C30" s="21">
        <v>0.85</v>
      </c>
      <c r="D30" s="21">
        <v>0.14000000000000001</v>
      </c>
      <c r="E30" s="21">
        <v>0</v>
      </c>
      <c r="F30" s="21">
        <v>0</v>
      </c>
      <c r="G30" s="21">
        <v>0</v>
      </c>
      <c r="H30" s="21">
        <v>0</v>
      </c>
      <c r="I30" s="21">
        <v>0</v>
      </c>
      <c r="J30" s="21">
        <v>0.01</v>
      </c>
    </row>
    <row r="31" spans="1:10" x14ac:dyDescent="0.45">
      <c r="A31" s="13" t="s">
        <v>481</v>
      </c>
      <c r="B31" s="21">
        <v>0</v>
      </c>
      <c r="C31" s="21">
        <v>0.92</v>
      </c>
      <c r="D31" s="21">
        <v>0.08</v>
      </c>
      <c r="E31" s="21">
        <v>0</v>
      </c>
      <c r="F31" s="21">
        <v>0</v>
      </c>
      <c r="G31" s="21">
        <v>0</v>
      </c>
      <c r="H31" s="21">
        <v>0</v>
      </c>
      <c r="I31" s="21">
        <v>0</v>
      </c>
      <c r="J31" s="21">
        <v>0</v>
      </c>
    </row>
    <row r="32" spans="1:10" x14ac:dyDescent="0.45">
      <c r="A32" s="13" t="s">
        <v>482</v>
      </c>
      <c r="B32" s="21">
        <v>0.98</v>
      </c>
      <c r="C32" s="21">
        <v>0</v>
      </c>
      <c r="D32" s="21">
        <v>0</v>
      </c>
      <c r="E32" s="21">
        <v>0</v>
      </c>
      <c r="F32" s="21">
        <v>0</v>
      </c>
      <c r="G32" s="21">
        <v>0</v>
      </c>
      <c r="H32" s="21">
        <v>0.02</v>
      </c>
      <c r="I32" s="21">
        <v>0</v>
      </c>
      <c r="J32" s="21">
        <v>0</v>
      </c>
    </row>
    <row r="33" spans="1:10" x14ac:dyDescent="0.45">
      <c r="A33" s="13" t="s">
        <v>483</v>
      </c>
      <c r="B33" s="21">
        <v>0.52</v>
      </c>
      <c r="C33" s="21">
        <v>0.32</v>
      </c>
      <c r="D33" s="21">
        <v>0.1</v>
      </c>
      <c r="E33" s="21">
        <v>0.01</v>
      </c>
      <c r="F33" s="21">
        <v>0.03</v>
      </c>
      <c r="G33" s="21">
        <v>0</v>
      </c>
      <c r="H33" s="21">
        <v>0.01</v>
      </c>
      <c r="I33" s="21">
        <v>0</v>
      </c>
      <c r="J33" s="21">
        <v>0</v>
      </c>
    </row>
    <row r="34" spans="1:10" x14ac:dyDescent="0.45">
      <c r="A34" s="13" t="s">
        <v>484</v>
      </c>
      <c r="B34" s="21">
        <v>0</v>
      </c>
      <c r="C34" s="21">
        <v>0</v>
      </c>
      <c r="D34" s="21">
        <v>0</v>
      </c>
      <c r="E34" s="21">
        <v>0</v>
      </c>
      <c r="F34" s="21">
        <v>0</v>
      </c>
      <c r="G34" s="21">
        <v>0</v>
      </c>
      <c r="H34" s="21">
        <v>1</v>
      </c>
      <c r="I34" s="21">
        <v>0</v>
      </c>
      <c r="J34" s="21">
        <v>0</v>
      </c>
    </row>
    <row r="35" spans="1:10" x14ac:dyDescent="0.45">
      <c r="A35" s="13" t="s">
        <v>485</v>
      </c>
      <c r="B35" s="21">
        <v>0</v>
      </c>
      <c r="C35" s="21">
        <v>0.75</v>
      </c>
      <c r="D35" s="21">
        <v>0.14000000000000001</v>
      </c>
      <c r="E35" s="21">
        <v>0</v>
      </c>
      <c r="F35" s="21">
        <v>0</v>
      </c>
      <c r="G35" s="21">
        <v>0</v>
      </c>
      <c r="H35" s="21">
        <v>0.1</v>
      </c>
      <c r="I35" s="21">
        <v>0</v>
      </c>
      <c r="J35" s="21">
        <v>0</v>
      </c>
    </row>
    <row r="36" spans="1:10" x14ac:dyDescent="0.45">
      <c r="A36" s="13" t="s">
        <v>486</v>
      </c>
      <c r="B36" s="21">
        <v>0.03</v>
      </c>
      <c r="C36" s="21">
        <v>0.31</v>
      </c>
      <c r="D36" s="21">
        <v>0.44</v>
      </c>
      <c r="E36" s="21">
        <v>0.13</v>
      </c>
      <c r="F36" s="21">
        <v>0</v>
      </c>
      <c r="G36" s="21">
        <v>0</v>
      </c>
      <c r="H36" s="21">
        <v>0.09</v>
      </c>
      <c r="I36" s="21">
        <v>0</v>
      </c>
      <c r="J36" s="2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
  <sheetViews>
    <sheetView workbookViewId="0">
      <selection activeCell="G1" sqref="G1:L1"/>
    </sheetView>
  </sheetViews>
  <sheetFormatPr defaultColWidth="10.73046875" defaultRowHeight="14.25" x14ac:dyDescent="0.45"/>
  <cols>
    <col min="1" max="1" width="17.73046875" customWidth="1"/>
    <col min="2" max="2" width="68.73046875" customWidth="1"/>
    <col min="3" max="3" width="12.73046875" customWidth="1"/>
    <col min="4" max="4" width="7.73046875" customWidth="1"/>
    <col min="5" max="5" width="9.73046875" customWidth="1"/>
    <col min="6" max="6" width="6.73046875" customWidth="1"/>
    <col min="7" max="12" width="5.73046875" customWidth="1"/>
    <col min="13" max="13" width="66.73046875" customWidth="1"/>
  </cols>
  <sheetData>
    <row r="1" spans="1:13" x14ac:dyDescent="0.45">
      <c r="A1" s="3" t="s">
        <v>37</v>
      </c>
      <c r="B1" s="3" t="s">
        <v>38</v>
      </c>
      <c r="C1" s="3" t="s">
        <v>494</v>
      </c>
      <c r="D1" s="3" t="s">
        <v>495</v>
      </c>
      <c r="E1" s="3" t="s">
        <v>165</v>
      </c>
      <c r="F1" s="3" t="s">
        <v>166</v>
      </c>
      <c r="G1" s="3" t="s">
        <v>167</v>
      </c>
      <c r="H1" s="3" t="s">
        <v>168</v>
      </c>
      <c r="I1" s="3" t="s">
        <v>169</v>
      </c>
      <c r="J1" s="3" t="s">
        <v>170</v>
      </c>
      <c r="K1" s="3" t="s">
        <v>171</v>
      </c>
      <c r="L1" s="3" t="s">
        <v>172</v>
      </c>
      <c r="M1" s="3" t="s">
        <v>2</v>
      </c>
    </row>
    <row r="2" spans="1:13" x14ac:dyDescent="0.45">
      <c r="A2" t="s">
        <v>496</v>
      </c>
      <c r="B2" t="s">
        <v>497</v>
      </c>
      <c r="C2" t="s">
        <v>498</v>
      </c>
      <c r="E2" t="s">
        <v>52</v>
      </c>
      <c r="F2" t="s">
        <v>35</v>
      </c>
      <c r="M2" t="s">
        <v>499</v>
      </c>
    </row>
    <row r="3" spans="1:13" x14ac:dyDescent="0.45">
      <c r="A3" t="s">
        <v>500</v>
      </c>
      <c r="B3" t="s">
        <v>501</v>
      </c>
      <c r="C3" t="s">
        <v>498</v>
      </c>
      <c r="E3" t="s">
        <v>52</v>
      </c>
      <c r="F3" t="s">
        <v>35</v>
      </c>
      <c r="M3" t="s">
        <v>502</v>
      </c>
    </row>
    <row r="4" spans="1:13" x14ac:dyDescent="0.45">
      <c r="A4" t="s">
        <v>503</v>
      </c>
      <c r="B4" t="s">
        <v>504</v>
      </c>
      <c r="C4" t="s">
        <v>452</v>
      </c>
      <c r="D4" t="s">
        <v>371</v>
      </c>
      <c r="F4" t="s">
        <v>35</v>
      </c>
      <c r="M4" t="s">
        <v>505</v>
      </c>
    </row>
    <row r="5" spans="1:13" x14ac:dyDescent="0.45">
      <c r="A5" t="s">
        <v>506</v>
      </c>
      <c r="B5" t="s">
        <v>507</v>
      </c>
      <c r="C5" t="s">
        <v>508</v>
      </c>
      <c r="E5" t="s">
        <v>509</v>
      </c>
      <c r="F5" t="s">
        <v>35</v>
      </c>
      <c r="M5" t="s">
        <v>510</v>
      </c>
    </row>
  </sheetData>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settings</vt:lpstr>
      <vt:lpstr>commodities</vt:lpstr>
      <vt:lpstr>demand</vt:lpstr>
      <vt:lpstr>demand_drivers</vt:lpstr>
      <vt:lpstr>supply</vt:lpstr>
      <vt:lpstr>supply_calcs</vt:lpstr>
      <vt:lpstr>infrastructure</vt:lpstr>
      <vt:lpstr>infra_tech</vt:lpstr>
      <vt:lpstr>technologies</vt:lpstr>
      <vt:lpstr>new-format</vt:lpstr>
      <vt:lpstr>fleet</vt:lpstr>
      <vt:lpstr>fleet_new</vt:lpstr>
      <vt:lpstr>constraints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LDV Passenger Transport Inputs</dc:title>
  <dc:subject/>
  <dc:creator>IDEEA transport model</dc:creator>
  <cp:keywords/>
  <dc:description/>
  <cp:lastModifiedBy>Oleg Lugovoy</cp:lastModifiedBy>
  <cp:revision/>
  <dcterms:created xsi:type="dcterms:W3CDTF">2026-03-24T12:03:20Z</dcterms:created>
  <dcterms:modified xsi:type="dcterms:W3CDTF">2026-05-31T17:43:27Z</dcterms:modified>
  <cp:category/>
  <cp:contentStatus/>
</cp:coreProperties>
</file>